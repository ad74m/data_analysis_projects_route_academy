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mc:AlternateContent xmlns:mc="http://schemas.openxmlformats.org/markup-compatibility/2006">
    <mc:Choice Requires="x15">
      <x15ac:absPath xmlns:x15ac="http://schemas.microsoft.com/office/spreadsheetml/2010/11/ac" url="E:\Route\Sessions\Session 3\Materials\"/>
    </mc:Choice>
  </mc:AlternateContent>
  <xr:revisionPtr revIDLastSave="0" documentId="13_ncr:1_{EA8B5F24-8A96-41CC-BE47-ED9EE14C2F3A}" xr6:coauthVersionLast="47" xr6:coauthVersionMax="47" xr10:uidLastSave="{00000000-0000-0000-0000-000000000000}"/>
  <bookViews>
    <workbookView xWindow="-96" yWindow="384" windowWidth="23232" windowHeight="14112" activeTab="1" xr2:uid="{00000000-000D-0000-FFFF-FFFF00000000}"/>
  </bookViews>
  <sheets>
    <sheet name="Pivot_Analysis" sheetId="3" r:id="rId1"/>
    <sheet name="Dashboard" sheetId="5" r:id="rId2"/>
    <sheet name="Orders after cleaning" sheetId="2" r:id="rId3"/>
    <sheet name="Orders" sheetId="1" r:id="rId4"/>
  </sheets>
  <definedNames>
    <definedName name="Category">'Orders after cleaning'!$D$2:$D$101</definedName>
    <definedName name="ExternalData_1" localSheetId="2" hidden="1">'Orders after cleaning'!$A$1:$L$101</definedName>
    <definedName name="Order_Date">'Orders after cleaning'!$F$2:$F$101</definedName>
    <definedName name="Product_Name">'Orders after cleaning'!$C$2:$C$101</definedName>
    <definedName name="Quantity">'Orders after cleaning'!$J$2:$J$101</definedName>
    <definedName name="Region">'Orders after cleaning'!$B$2:$B$101</definedName>
    <definedName name="Slicer_Category">#N/A</definedName>
    <definedName name="Slicer_Region">#N/A</definedName>
    <definedName name="Slicer_Warehouse">#N/A</definedName>
    <definedName name="Subcategory">'Orders after cleaning'!$E$2:$E$101</definedName>
    <definedName name="Total_Sales">'Orders after cleaning'!$L$2:$L$101</definedName>
    <definedName name="Unit_Price">'Orders after cleaning'!$K$2:$K$101</definedName>
    <definedName name="Warehouse">'Orders after cleaning'!$A$2:$A$101</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 i="2" l="1"/>
  <c r="G3" i="2"/>
  <c r="G4" i="2"/>
  <c r="G5" i="2"/>
  <c r="G6" i="2"/>
  <c r="G7" i="2"/>
  <c r="G8" i="2"/>
  <c r="G9" i="2"/>
  <c r="G10" i="2"/>
  <c r="G11" i="2"/>
  <c r="G12" i="2"/>
  <c r="G13" i="2"/>
  <c r="G14" i="2"/>
  <c r="G15" i="2"/>
  <c r="G16" i="2"/>
  <c r="G17" i="2"/>
  <c r="G18" i="2"/>
  <c r="G19" i="2"/>
  <c r="G20" i="2"/>
  <c r="G21" i="2"/>
  <c r="G22" i="2"/>
  <c r="G23" i="2"/>
  <c r="G24" i="2"/>
  <c r="G25" i="2"/>
  <c r="G26" i="2"/>
  <c r="G27" i="2"/>
  <c r="G28" i="2"/>
  <c r="G29" i="2"/>
  <c r="G30" i="2"/>
  <c r="G31" i="2"/>
  <c r="G32" i="2"/>
  <c r="G33" i="2"/>
  <c r="G34" i="2"/>
  <c r="G35" i="2"/>
  <c r="G36" i="2"/>
  <c r="G37" i="2"/>
  <c r="G38" i="2"/>
  <c r="G39" i="2"/>
  <c r="G40" i="2"/>
  <c r="G41" i="2"/>
  <c r="G42" i="2"/>
  <c r="G43" i="2"/>
  <c r="G44" i="2"/>
  <c r="G45" i="2"/>
  <c r="G46" i="2"/>
  <c r="G47" i="2"/>
  <c r="G48" i="2"/>
  <c r="G49" i="2"/>
  <c r="G50" i="2"/>
  <c r="G51" i="2"/>
  <c r="G52" i="2"/>
  <c r="G53" i="2"/>
  <c r="G54" i="2"/>
  <c r="G55" i="2"/>
  <c r="G56" i="2"/>
  <c r="G57" i="2"/>
  <c r="G58" i="2"/>
  <c r="G59" i="2"/>
  <c r="G60" i="2"/>
  <c r="G61" i="2"/>
  <c r="G62" i="2"/>
  <c r="G63" i="2"/>
  <c r="G64" i="2"/>
  <c r="G65" i="2"/>
  <c r="G66" i="2"/>
  <c r="G67" i="2"/>
  <c r="G68" i="2"/>
  <c r="G69" i="2"/>
  <c r="G70" i="2"/>
  <c r="G71" i="2"/>
  <c r="G72" i="2"/>
  <c r="G73" i="2"/>
  <c r="G74" i="2"/>
  <c r="G75" i="2"/>
  <c r="G76" i="2"/>
  <c r="G77" i="2"/>
  <c r="G78" i="2"/>
  <c r="G79" i="2"/>
  <c r="G80" i="2"/>
  <c r="G81" i="2"/>
  <c r="G82" i="2"/>
  <c r="G83" i="2"/>
  <c r="G84" i="2"/>
  <c r="G85" i="2"/>
  <c r="G86" i="2"/>
  <c r="G87" i="2"/>
  <c r="G88" i="2"/>
  <c r="G89" i="2"/>
  <c r="G90" i="2"/>
  <c r="G91" i="2"/>
  <c r="G92" i="2"/>
  <c r="G93" i="2"/>
  <c r="G94" i="2"/>
  <c r="G95" i="2"/>
  <c r="G96" i="2"/>
  <c r="G97" i="2"/>
  <c r="G98" i="2"/>
  <c r="G99" i="2"/>
  <c r="G100" i="2"/>
  <c r="G101" i="2"/>
  <c r="H2" i="2"/>
  <c r="H3" i="2"/>
  <c r="H4" i="2"/>
  <c r="H5" i="2"/>
  <c r="H6" i="2"/>
  <c r="H7" i="2"/>
  <c r="H8" i="2"/>
  <c r="H9" i="2"/>
  <c r="H10" i="2"/>
  <c r="H11" i="2"/>
  <c r="H12" i="2"/>
  <c r="H13" i="2"/>
  <c r="H14" i="2"/>
  <c r="H15" i="2"/>
  <c r="H16" i="2"/>
  <c r="H17" i="2"/>
  <c r="H18" i="2"/>
  <c r="H19" i="2"/>
  <c r="H20" i="2"/>
  <c r="H21" i="2"/>
  <c r="H22" i="2"/>
  <c r="H23" i="2"/>
  <c r="H24" i="2"/>
  <c r="H25" i="2"/>
  <c r="H26" i="2"/>
  <c r="H27" i="2"/>
  <c r="H28" i="2"/>
  <c r="H29" i="2"/>
  <c r="H30" i="2"/>
  <c r="H31" i="2"/>
  <c r="H32" i="2"/>
  <c r="H33" i="2"/>
  <c r="H34" i="2"/>
  <c r="H35" i="2"/>
  <c r="H36" i="2"/>
  <c r="H37" i="2"/>
  <c r="H38" i="2"/>
  <c r="H39" i="2"/>
  <c r="H40" i="2"/>
  <c r="H41" i="2"/>
  <c r="H42" i="2"/>
  <c r="H43" i="2"/>
  <c r="H44" i="2"/>
  <c r="H45" i="2"/>
  <c r="H46" i="2"/>
  <c r="H47" i="2"/>
  <c r="H48" i="2"/>
  <c r="H49" i="2"/>
  <c r="H50" i="2"/>
  <c r="H51" i="2"/>
  <c r="H52" i="2"/>
  <c r="H53" i="2"/>
  <c r="H54" i="2"/>
  <c r="H55" i="2"/>
  <c r="H56" i="2"/>
  <c r="H57" i="2"/>
  <c r="H58" i="2"/>
  <c r="H59" i="2"/>
  <c r="H60" i="2"/>
  <c r="H61" i="2"/>
  <c r="H62" i="2"/>
  <c r="H63" i="2"/>
  <c r="H64" i="2"/>
  <c r="H65" i="2"/>
  <c r="H66" i="2"/>
  <c r="H67" i="2"/>
  <c r="H68" i="2"/>
  <c r="H69" i="2"/>
  <c r="H70" i="2"/>
  <c r="H71" i="2"/>
  <c r="H72" i="2"/>
  <c r="H73" i="2"/>
  <c r="H74" i="2"/>
  <c r="H75" i="2"/>
  <c r="H76" i="2"/>
  <c r="H77" i="2"/>
  <c r="H78" i="2"/>
  <c r="H79" i="2"/>
  <c r="H80" i="2"/>
  <c r="H81" i="2"/>
  <c r="H82" i="2"/>
  <c r="H83" i="2"/>
  <c r="H84" i="2"/>
  <c r="H85" i="2"/>
  <c r="H86" i="2"/>
  <c r="H87" i="2"/>
  <c r="H88" i="2"/>
  <c r="H89" i="2"/>
  <c r="H90" i="2"/>
  <c r="H91" i="2"/>
  <c r="H92" i="2"/>
  <c r="H93" i="2"/>
  <c r="H94" i="2"/>
  <c r="H95" i="2"/>
  <c r="H96" i="2"/>
  <c r="H97" i="2"/>
  <c r="H98" i="2"/>
  <c r="H99" i="2"/>
  <c r="H100" i="2"/>
  <c r="H101" i="2"/>
  <c r="I2" i="2"/>
  <c r="I3" i="2"/>
  <c r="I4" i="2"/>
  <c r="I5"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A4F12FB-EFA8-4E40-91DA-F7CF84D40EEB}" keepAlive="1" name="Query - Orders" description="Connection to the 'Orders' query in the workbook." type="5" refreshedVersion="8" background="1" saveData="1">
    <dbPr connection="Provider=Microsoft.Mashup.OleDb.1;Data Source=$Workbook$;Location=Orders;Extended Properties=&quot;&quot;" command="SELECT * FROM [Orders]"/>
  </connection>
</connections>
</file>

<file path=xl/sharedStrings.xml><?xml version="1.0" encoding="utf-8"?>
<sst xmlns="http://schemas.openxmlformats.org/spreadsheetml/2006/main" count="1043" uniqueCount="201">
  <si>
    <t>Supply Chain Orders Report</t>
  </si>
  <si>
    <t>Export Date: 2024-12-31</t>
  </si>
  <si>
    <t>Warehouse</t>
  </si>
  <si>
    <t>Region</t>
  </si>
  <si>
    <t>Product Name</t>
  </si>
  <si>
    <t>Category_Subcategory</t>
  </si>
  <si>
    <t>Order Date</t>
  </si>
  <si>
    <t>Quantity</t>
  </si>
  <si>
    <t>Unit Price</t>
  </si>
  <si>
    <t>Warehouse A</t>
  </si>
  <si>
    <t xml:space="preserve">Aswan   </t>
  </si>
  <si>
    <t>Power  Bank</t>
  </si>
  <si>
    <t>Electronics-Accessories</t>
  </si>
  <si>
    <t>02/06/2024</t>
  </si>
  <si>
    <t xml:space="preserve">  Mansoura</t>
  </si>
  <si>
    <t>Mechanical  Keyboard</t>
  </si>
  <si>
    <t>Office-Stationery</t>
  </si>
  <si>
    <t>15/09/2024</t>
  </si>
  <si>
    <t xml:space="preserve">Giza   </t>
  </si>
  <si>
    <t>Network  Switch</t>
  </si>
  <si>
    <t>Networking-Cables</t>
  </si>
  <si>
    <t>14/04/2024</t>
  </si>
  <si>
    <t xml:space="preserve">  Alexandria  </t>
  </si>
  <si>
    <t>Power   Bank</t>
  </si>
  <si>
    <t>22/09/2024</t>
  </si>
  <si>
    <t xml:space="preserve">  Mansoura  </t>
  </si>
  <si>
    <t>19/08/2024</t>
  </si>
  <si>
    <t>Aswan</t>
  </si>
  <si>
    <t>Desk  Lamp</t>
  </si>
  <si>
    <t>Office-Furniture</t>
  </si>
  <si>
    <t>18/12/2024</t>
  </si>
  <si>
    <t>Tanta</t>
  </si>
  <si>
    <t>Office Chair</t>
  </si>
  <si>
    <t>Storage-Drives</t>
  </si>
  <si>
    <t>15/02/2024</t>
  </si>
  <si>
    <t>Office  Chair</t>
  </si>
  <si>
    <t>02/09/2024</t>
  </si>
  <si>
    <t xml:space="preserve">  Aswan  </t>
  </si>
  <si>
    <t>Hard Drive</t>
  </si>
  <si>
    <t>27/02/2024</t>
  </si>
  <si>
    <t xml:space="preserve">  Port Said</t>
  </si>
  <si>
    <t>Wireless Mouse</t>
  </si>
  <si>
    <t>27/05/2024</t>
  </si>
  <si>
    <t xml:space="preserve">  Aswan</t>
  </si>
  <si>
    <t>Electronics-Computers</t>
  </si>
  <si>
    <t>08/01/2024</t>
  </si>
  <si>
    <t xml:space="preserve">Alexandria   </t>
  </si>
  <si>
    <t>27/07/2024</t>
  </si>
  <si>
    <t>Alexandria</t>
  </si>
  <si>
    <t>Monitor Arm</t>
  </si>
  <si>
    <t>24/11/2024</t>
  </si>
  <si>
    <t xml:space="preserve">  Alexandria</t>
  </si>
  <si>
    <t>USB   Hub</t>
  </si>
  <si>
    <t>01/08/2024</t>
  </si>
  <si>
    <t xml:space="preserve">  Tanta</t>
  </si>
  <si>
    <t>USB  Hub</t>
  </si>
  <si>
    <t>23/03/2024</t>
  </si>
  <si>
    <t>Cairo</t>
  </si>
  <si>
    <t>16/08/2024</t>
  </si>
  <si>
    <t>Office   Chair</t>
  </si>
  <si>
    <t>14/02/2024</t>
  </si>
  <si>
    <t xml:space="preserve">  Giza  </t>
  </si>
  <si>
    <t>10/07/2024</t>
  </si>
  <si>
    <t>Webcam  HD</t>
  </si>
  <si>
    <t>28/08/2024</t>
  </si>
  <si>
    <t>Mechanical Keyboard</t>
  </si>
  <si>
    <t>18/09/2024</t>
  </si>
  <si>
    <t>Hard  Drive</t>
  </si>
  <si>
    <t>15/12/2024</t>
  </si>
  <si>
    <t>HDMI Cable</t>
  </si>
  <si>
    <t>19/04/2024</t>
  </si>
  <si>
    <t xml:space="preserve">Mansoura   </t>
  </si>
  <si>
    <t>Monitor  Arm</t>
  </si>
  <si>
    <t>01/05/2024</t>
  </si>
  <si>
    <t>16/04/2024</t>
  </si>
  <si>
    <t>Mansoura</t>
  </si>
  <si>
    <t>06/11/2024</t>
  </si>
  <si>
    <t>Giza</t>
  </si>
  <si>
    <t>Hard   Drive</t>
  </si>
  <si>
    <t>07/11/2024</t>
  </si>
  <si>
    <t>Warehouse B</t>
  </si>
  <si>
    <t>Luxor</t>
  </si>
  <si>
    <t>17/01/2024</t>
  </si>
  <si>
    <t xml:space="preserve">Port Said   </t>
  </si>
  <si>
    <t>03/09/2024</t>
  </si>
  <si>
    <t xml:space="preserve">  Cairo</t>
  </si>
  <si>
    <t>Monitor   Arm</t>
  </si>
  <si>
    <t>04/04/2024</t>
  </si>
  <si>
    <t>27/03/2024</t>
  </si>
  <si>
    <t>09/01/2024</t>
  </si>
  <si>
    <t>10/09/2024</t>
  </si>
  <si>
    <t>Port Said</t>
  </si>
  <si>
    <t>12/09/2024</t>
  </si>
  <si>
    <t>23/02/2024</t>
  </si>
  <si>
    <t>Mechanical   Keyboard</t>
  </si>
  <si>
    <t>06/03/2024</t>
  </si>
  <si>
    <t>03/11/2024</t>
  </si>
  <si>
    <t>Power Bank</t>
  </si>
  <si>
    <t>18/05/2024</t>
  </si>
  <si>
    <t>21/01/2024</t>
  </si>
  <si>
    <t>Wireless  Mouse</t>
  </si>
  <si>
    <t>20/02/2024</t>
  </si>
  <si>
    <t>01/09/2024</t>
  </si>
  <si>
    <t>Wireless   Mouse</t>
  </si>
  <si>
    <t>11/05/2024</t>
  </si>
  <si>
    <t>13/05/2024</t>
  </si>
  <si>
    <t>26/11/2024</t>
  </si>
  <si>
    <t>Laptop   Stand</t>
  </si>
  <si>
    <t>17/07/2024</t>
  </si>
  <si>
    <t>15/11/2024</t>
  </si>
  <si>
    <t>22/04/2024</t>
  </si>
  <si>
    <t>Warehouse C</t>
  </si>
  <si>
    <t>25/01/2024</t>
  </si>
  <si>
    <t>Desk   Lamp</t>
  </si>
  <si>
    <t>13/11/2024</t>
  </si>
  <si>
    <t xml:space="preserve">  Port Said  </t>
  </si>
  <si>
    <t>09/09/2024</t>
  </si>
  <si>
    <t>Laptop  Stand</t>
  </si>
  <si>
    <t xml:space="preserve">  Luxor</t>
  </si>
  <si>
    <t>11/04/2024</t>
  </si>
  <si>
    <t>Network Switch</t>
  </si>
  <si>
    <t>13/08/2024</t>
  </si>
  <si>
    <t>05/08/2024</t>
  </si>
  <si>
    <t>15/03/2024</t>
  </si>
  <si>
    <t>Desk Lamp</t>
  </si>
  <si>
    <t>04/08/2024</t>
  </si>
  <si>
    <t>02/04/2024</t>
  </si>
  <si>
    <t xml:space="preserve">  Tanta  </t>
  </si>
  <si>
    <t>15/06/2024</t>
  </si>
  <si>
    <t xml:space="preserve">  Cairo  </t>
  </si>
  <si>
    <t>17/04/2024</t>
  </si>
  <si>
    <t>11/07/2024</t>
  </si>
  <si>
    <t xml:space="preserve">  Giza</t>
  </si>
  <si>
    <t>21/12/2024</t>
  </si>
  <si>
    <t>18/02/2024</t>
  </si>
  <si>
    <t>HDMI  Cable</t>
  </si>
  <si>
    <t>08/07/2024</t>
  </si>
  <si>
    <t>USB Hub</t>
  </si>
  <si>
    <t>20/06/2024</t>
  </si>
  <si>
    <t>19/07/2024</t>
  </si>
  <si>
    <t>Warehouse D</t>
  </si>
  <si>
    <t>Laptop Stand</t>
  </si>
  <si>
    <t>09/11/2024</t>
  </si>
  <si>
    <t>01/03/2024</t>
  </si>
  <si>
    <t>27/08/2024</t>
  </si>
  <si>
    <t>08/02/2024</t>
  </si>
  <si>
    <t xml:space="preserve">Cairo   </t>
  </si>
  <si>
    <t>23/11/2024</t>
  </si>
  <si>
    <t>05/01/2024</t>
  </si>
  <si>
    <t>24/04/2024</t>
  </si>
  <si>
    <t>22/12/2024</t>
  </si>
  <si>
    <t>21/05/2024</t>
  </si>
  <si>
    <t>14/10/2024</t>
  </si>
  <si>
    <t>14/03/2024</t>
  </si>
  <si>
    <t>27/01/2024</t>
  </si>
  <si>
    <t xml:space="preserve">  Luxor  </t>
  </si>
  <si>
    <t>15/05/2024</t>
  </si>
  <si>
    <t>05/07/2024</t>
  </si>
  <si>
    <t>28/01/2024</t>
  </si>
  <si>
    <t>14/05/2024</t>
  </si>
  <si>
    <t>23/05/2024</t>
  </si>
  <si>
    <t>12/05/2024</t>
  </si>
  <si>
    <t>02/02/2024</t>
  </si>
  <si>
    <t>03/04/2024</t>
  </si>
  <si>
    <t>Category</t>
  </si>
  <si>
    <t>Subcategory</t>
  </si>
  <si>
    <t>Total Sales</t>
  </si>
  <si>
    <t>Electronics</t>
  </si>
  <si>
    <t>Accessories</t>
  </si>
  <si>
    <t>Office</t>
  </si>
  <si>
    <t>Stationery</t>
  </si>
  <si>
    <t>Networking</t>
  </si>
  <si>
    <t>Cables</t>
  </si>
  <si>
    <t>Furniture</t>
  </si>
  <si>
    <t>Storage</t>
  </si>
  <si>
    <t>Drives</t>
  </si>
  <si>
    <t>Computers</t>
  </si>
  <si>
    <t>Webcam HD</t>
  </si>
  <si>
    <t>Row Labels</t>
  </si>
  <si>
    <t>Grand Total</t>
  </si>
  <si>
    <t>Sum of Total Sales</t>
  </si>
  <si>
    <t>Count of Warehouse</t>
  </si>
  <si>
    <t>Count of Order Date</t>
  </si>
  <si>
    <t>Total Orders</t>
  </si>
  <si>
    <t>Average of Unit Price</t>
  </si>
  <si>
    <t>Year</t>
  </si>
  <si>
    <t>Month</t>
  </si>
  <si>
    <t>Quarter</t>
  </si>
  <si>
    <t>January</t>
  </si>
  <si>
    <t>February</t>
  </si>
  <si>
    <t>March</t>
  </si>
  <si>
    <t>April</t>
  </si>
  <si>
    <t>May</t>
  </si>
  <si>
    <t>June</t>
  </si>
  <si>
    <t>July</t>
  </si>
  <si>
    <t>August</t>
  </si>
  <si>
    <t>September</t>
  </si>
  <si>
    <t>October</t>
  </si>
  <si>
    <t>November</t>
  </si>
  <si>
    <t>December</t>
  </si>
  <si>
    <t>Sum of Quantity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</si>
</sst>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6" x14ac:knownFonts="1">
    <font>
      <sz val="11"/>
      <color theme="1"/>
      <name val="Calibri"/>
      <family val="2"/>
      <scheme val="minor"/>
    </font>
    <font>
      <sz val="11"/>
      <name val="Arial"/>
    </font>
    <font>
      <b/>
      <sz val="12"/>
      <name val="Arial"/>
    </font>
    <font>
      <sz val="10"/>
      <name val="Arial"/>
    </font>
    <font>
      <sz val="20"/>
      <color theme="1"/>
      <name val="Angsana New"/>
      <family val="1"/>
      <charset val="222"/>
    </font>
    <font>
      <sz val="20"/>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8">
    <xf numFmtId="0" fontId="0" fillId="0" borderId="0" xfId="0"/>
    <xf numFmtId="0" fontId="2" fillId="0" borderId="0" xfId="0" applyFont="1"/>
    <xf numFmtId="0" fontId="1" fillId="0" borderId="0" xfId="0" applyFont="1"/>
    <xf numFmtId="0" fontId="3" fillId="0" borderId="0" xfId="0" applyFont="1"/>
    <xf numFmtId="49" fontId="1" fillId="0" borderId="0" xfId="0" applyNumberFormat="1" applyFont="1"/>
    <xf numFmtId="14" fontId="0" fillId="0" borderId="0" xfId="0" applyNumberFormat="1"/>
    <xf numFmtId="0" fontId="4" fillId="0" borderId="0" xfId="0" applyFont="1" applyAlignment="1">
      <alignment horizontal="center"/>
    </xf>
    <xf numFmtId="14" fontId="4" fillId="0" borderId="0" xfId="0" applyNumberFormat="1" applyFont="1" applyAlignment="1">
      <alignment horizontal="center"/>
    </xf>
    <xf numFmtId="0" fontId="4" fillId="0" borderId="0" xfId="0" pivotButton="1" applyFont="1" applyAlignment="1">
      <alignment horizontal="center"/>
    </xf>
    <xf numFmtId="164" fontId="4" fillId="0" borderId="0" xfId="0" applyNumberFormat="1" applyFont="1" applyAlignment="1">
      <alignment horizontal="center"/>
    </xf>
    <xf numFmtId="164" fontId="0" fillId="0" borderId="0" xfId="0" applyNumberFormat="1"/>
    <xf numFmtId="3" fontId="4" fillId="0" borderId="0" xfId="0" applyNumberFormat="1" applyFont="1" applyAlignment="1">
      <alignment horizontal="center"/>
    </xf>
    <xf numFmtId="4" fontId="4" fillId="0" borderId="0" xfId="0" applyNumberFormat="1" applyFont="1" applyAlignment="1">
      <alignment horizontal="center"/>
    </xf>
    <xf numFmtId="0" fontId="5" fillId="0" borderId="0" xfId="0" applyFont="1" applyAlignment="1">
      <alignment horizontal="center"/>
    </xf>
    <xf numFmtId="1" fontId="4" fillId="0" borderId="0" xfId="0" applyNumberFormat="1" applyFont="1" applyAlignment="1">
      <alignment horizontal="center"/>
    </xf>
    <xf numFmtId="1" fontId="0" fillId="0" borderId="0" xfId="0" applyNumberFormat="1"/>
    <xf numFmtId="2" fontId="4" fillId="0" borderId="0" xfId="0" applyNumberFormat="1" applyFont="1" applyAlignment="1">
      <alignment horizontal="center"/>
    </xf>
    <xf numFmtId="2" fontId="0" fillId="0" borderId="0" xfId="0" applyNumberFormat="1"/>
  </cellXfs>
  <cellStyles count="1">
    <cellStyle name="Normal" xfId="0" builtinId="0"/>
  </cellStyles>
  <dxfs count="762">
    <dxf>
      <font>
        <name val="Angsana New"/>
        <family val="1"/>
        <charset val="222"/>
        <scheme val="none"/>
      </font>
    </dxf>
    <dxf>
      <font>
        <name val="Angsana New"/>
        <family val="1"/>
        <charset val="222"/>
        <scheme val="none"/>
      </font>
    </dxf>
    <dxf>
      <font>
        <name val="Angsana New"/>
        <family val="1"/>
        <charset val="222"/>
        <scheme val="none"/>
      </font>
    </dxf>
    <dxf>
      <font>
        <name val="Angsana New"/>
        <family val="1"/>
        <charset val="222"/>
        <scheme val="none"/>
      </font>
    </dxf>
    <dxf>
      <font>
        <name val="Angsana New"/>
        <family val="1"/>
        <charset val="222"/>
        <scheme val="none"/>
      </font>
    </dxf>
    <dxf>
      <font>
        <sz val="20"/>
      </font>
    </dxf>
    <dxf>
      <font>
        <sz val="20"/>
      </font>
    </dxf>
    <dxf>
      <font>
        <sz val="20"/>
      </font>
    </dxf>
    <dxf>
      <font>
        <sz val="20"/>
      </font>
    </dxf>
    <dxf>
      <font>
        <sz val="20"/>
      </font>
    </dxf>
    <dxf>
      <alignment horizontal="center"/>
    </dxf>
    <dxf>
      <alignment horizontal="center"/>
    </dxf>
    <dxf>
      <alignment horizontal="center"/>
    </dxf>
    <dxf>
      <alignment horizontal="center"/>
    </dxf>
    <dxf>
      <alignment horizontal="center"/>
    </dxf>
    <dxf>
      <numFmt numFmtId="164" formatCode="&quot;$&quot;#,##0.00"/>
    </dxf>
    <dxf>
      <font>
        <name val="Angsana New"/>
        <family val="1"/>
        <charset val="222"/>
        <scheme val="none"/>
      </font>
    </dxf>
    <dxf>
      <font>
        <name val="Angsana New"/>
        <family val="1"/>
        <charset val="222"/>
        <scheme val="none"/>
      </font>
    </dxf>
    <dxf>
      <font>
        <name val="Angsana New"/>
        <family val="1"/>
        <charset val="222"/>
        <scheme val="none"/>
      </font>
    </dxf>
    <dxf>
      <font>
        <name val="Angsana New"/>
        <family val="1"/>
        <charset val="222"/>
        <scheme val="none"/>
      </font>
    </dxf>
    <dxf>
      <font>
        <name val="Angsana New"/>
        <family val="1"/>
        <charset val="222"/>
        <scheme val="none"/>
      </font>
    </dxf>
    <dxf>
      <font>
        <sz val="20"/>
      </font>
    </dxf>
    <dxf>
      <font>
        <sz val="20"/>
      </font>
    </dxf>
    <dxf>
      <font>
        <sz val="20"/>
      </font>
    </dxf>
    <dxf>
      <font>
        <sz val="20"/>
      </font>
    </dxf>
    <dxf>
      <font>
        <sz val="20"/>
      </font>
    </dxf>
    <dxf>
      <alignment horizontal="center"/>
    </dxf>
    <dxf>
      <alignment horizontal="center"/>
    </dxf>
    <dxf>
      <alignment horizontal="center"/>
    </dxf>
    <dxf>
      <alignment horizontal="center"/>
    </dxf>
    <dxf>
      <alignment horizontal="center"/>
    </dxf>
    <dxf>
      <numFmt numFmtId="164" formatCode="&quot;$&quot;#,##0.00"/>
    </dxf>
    <dxf>
      <font>
        <name val="Angsana New"/>
        <family val="1"/>
        <charset val="222"/>
        <scheme val="none"/>
      </font>
    </dxf>
    <dxf>
      <font>
        <name val="Angsana New"/>
        <family val="1"/>
        <charset val="222"/>
        <scheme val="none"/>
      </font>
    </dxf>
    <dxf>
      <font>
        <name val="Angsana New"/>
        <family val="1"/>
        <charset val="222"/>
        <scheme val="none"/>
      </font>
    </dxf>
    <dxf>
      <font>
        <name val="Angsana New"/>
        <family val="1"/>
        <charset val="222"/>
        <scheme val="none"/>
      </font>
    </dxf>
    <dxf>
      <font>
        <name val="Angsana New"/>
        <family val="1"/>
        <charset val="222"/>
        <scheme val="none"/>
      </font>
    </dxf>
    <dxf>
      <font>
        <sz val="20"/>
      </font>
    </dxf>
    <dxf>
      <font>
        <sz val="20"/>
      </font>
    </dxf>
    <dxf>
      <font>
        <sz val="20"/>
      </font>
    </dxf>
    <dxf>
      <font>
        <sz val="20"/>
      </font>
    </dxf>
    <dxf>
      <font>
        <sz val="20"/>
      </font>
    </dxf>
    <dxf>
      <alignment horizontal="center"/>
    </dxf>
    <dxf>
      <alignment horizontal="center"/>
    </dxf>
    <dxf>
      <alignment horizontal="center"/>
    </dxf>
    <dxf>
      <alignment horizontal="center"/>
    </dxf>
    <dxf>
      <alignment horizontal="center"/>
    </dxf>
    <dxf>
      <numFmt numFmtId="164" formatCode="&quot;$&quot;#,##0.00"/>
    </dxf>
    <dxf>
      <font>
        <name val="Angsana New"/>
        <family val="1"/>
        <charset val="222"/>
        <scheme val="none"/>
      </font>
    </dxf>
    <dxf>
      <font>
        <name val="Angsana New"/>
        <family val="1"/>
        <charset val="222"/>
        <scheme val="none"/>
      </font>
    </dxf>
    <dxf>
      <font>
        <name val="Angsana New"/>
        <family val="1"/>
        <charset val="222"/>
        <scheme val="none"/>
      </font>
    </dxf>
    <dxf>
      <font>
        <name val="Angsana New"/>
        <family val="1"/>
        <charset val="222"/>
        <scheme val="none"/>
      </font>
    </dxf>
    <dxf>
      <font>
        <name val="Angsana New"/>
        <family val="1"/>
        <charset val="222"/>
        <scheme val="none"/>
      </font>
    </dxf>
    <dxf>
      <font>
        <sz val="20"/>
      </font>
    </dxf>
    <dxf>
      <font>
        <sz val="20"/>
      </font>
    </dxf>
    <dxf>
      <font>
        <sz val="20"/>
      </font>
    </dxf>
    <dxf>
      <font>
        <sz val="20"/>
      </font>
    </dxf>
    <dxf>
      <font>
        <sz val="20"/>
      </font>
    </dxf>
    <dxf>
      <alignment horizontal="center"/>
    </dxf>
    <dxf>
      <alignment horizontal="center"/>
    </dxf>
    <dxf>
      <alignment horizontal="center"/>
    </dxf>
    <dxf>
      <alignment horizontal="center"/>
    </dxf>
    <dxf>
      <alignment horizontal="center"/>
    </dxf>
    <dxf>
      <numFmt numFmtId="3" formatCode="#,##0"/>
    </dxf>
    <dxf>
      <numFmt numFmtId="164" formatCode="&quot;$&quot;#,##0.00"/>
    </dxf>
    <dxf>
      <numFmt numFmtId="4" formatCode="#,##0.00"/>
    </dxf>
    <dxf>
      <font>
        <name val="Angsana New"/>
        <family val="1"/>
        <charset val="222"/>
        <scheme val="none"/>
      </font>
    </dxf>
    <dxf>
      <font>
        <name val="Angsana New"/>
        <family val="1"/>
        <charset val="222"/>
        <scheme val="none"/>
      </font>
    </dxf>
    <dxf>
      <font>
        <name val="Angsana New"/>
        <family val="1"/>
        <charset val="222"/>
        <scheme val="none"/>
      </font>
    </dxf>
    <dxf>
      <font>
        <name val="Angsana New"/>
        <family val="1"/>
        <charset val="222"/>
        <scheme val="none"/>
      </font>
    </dxf>
    <dxf>
      <font>
        <name val="Angsana New"/>
        <family val="1"/>
        <charset val="222"/>
        <scheme val="none"/>
      </font>
    </dxf>
    <dxf>
      <font>
        <sz val="20"/>
      </font>
    </dxf>
    <dxf>
      <font>
        <sz val="20"/>
      </font>
    </dxf>
    <dxf>
      <font>
        <sz val="20"/>
      </font>
    </dxf>
    <dxf>
      <font>
        <sz val="20"/>
      </font>
    </dxf>
    <dxf>
      <font>
        <sz val="20"/>
      </font>
    </dxf>
    <dxf>
      <alignment horizontal="center"/>
    </dxf>
    <dxf>
      <alignment horizontal="center"/>
    </dxf>
    <dxf>
      <alignment horizontal="center"/>
    </dxf>
    <dxf>
      <alignment horizontal="center"/>
    </dxf>
    <dxf>
      <alignment horizontal="center"/>
    </dxf>
    <dxf>
      <numFmt numFmtId="3" formatCode="#,##0"/>
    </dxf>
    <dxf>
      <font>
        <name val="Angsana New"/>
        <family val="1"/>
        <charset val="222"/>
        <scheme val="none"/>
      </font>
    </dxf>
    <dxf>
      <font>
        <name val="Angsana New"/>
        <family val="1"/>
        <charset val="222"/>
        <scheme val="none"/>
      </font>
    </dxf>
    <dxf>
      <font>
        <name val="Angsana New"/>
        <family val="1"/>
        <charset val="222"/>
        <scheme val="none"/>
      </font>
    </dxf>
    <dxf>
      <font>
        <name val="Angsana New"/>
        <family val="1"/>
        <charset val="222"/>
        <scheme val="none"/>
      </font>
    </dxf>
    <dxf>
      <font>
        <name val="Angsana New"/>
        <family val="1"/>
        <charset val="222"/>
        <scheme val="none"/>
      </font>
    </dxf>
    <dxf>
      <font>
        <sz val="20"/>
      </font>
    </dxf>
    <dxf>
      <font>
        <sz val="20"/>
      </font>
    </dxf>
    <dxf>
      <font>
        <sz val="20"/>
      </font>
    </dxf>
    <dxf>
      <font>
        <sz val="20"/>
      </font>
    </dxf>
    <dxf>
      <font>
        <sz val="20"/>
      </font>
    </dxf>
    <dxf>
      <alignment horizontal="center"/>
    </dxf>
    <dxf>
      <alignment horizontal="center"/>
    </dxf>
    <dxf>
      <alignment horizontal="center"/>
    </dxf>
    <dxf>
      <alignment horizontal="center"/>
    </dxf>
    <dxf>
      <alignment horizontal="center"/>
    </dxf>
    <dxf>
      <numFmt numFmtId="164" formatCode="&quot;$&quot;#,##0.00"/>
    </dxf>
    <dxf>
      <font>
        <name val="Angsana New"/>
        <family val="1"/>
        <charset val="222"/>
        <scheme val="none"/>
      </font>
    </dxf>
    <dxf>
      <font>
        <name val="Angsana New"/>
        <family val="1"/>
        <charset val="222"/>
        <scheme val="none"/>
      </font>
    </dxf>
    <dxf>
      <font>
        <name val="Angsana New"/>
        <family val="1"/>
        <charset val="222"/>
        <scheme val="none"/>
      </font>
    </dxf>
    <dxf>
      <font>
        <name val="Angsana New"/>
        <family val="1"/>
        <charset val="222"/>
        <scheme val="none"/>
      </font>
    </dxf>
    <dxf>
      <font>
        <name val="Angsana New"/>
        <family val="1"/>
        <charset val="222"/>
        <scheme val="none"/>
      </font>
    </dxf>
    <dxf>
      <font>
        <sz val="20"/>
      </font>
    </dxf>
    <dxf>
      <font>
        <sz val="20"/>
      </font>
    </dxf>
    <dxf>
      <font>
        <sz val="20"/>
      </font>
    </dxf>
    <dxf>
      <font>
        <sz val="20"/>
      </font>
    </dxf>
    <dxf>
      <font>
        <sz val="20"/>
      </font>
    </dxf>
    <dxf>
      <alignment horizontal="center"/>
    </dxf>
    <dxf>
      <alignment horizontal="center"/>
    </dxf>
    <dxf>
      <alignment horizontal="center"/>
    </dxf>
    <dxf>
      <alignment horizontal="center"/>
    </dxf>
    <dxf>
      <alignment horizontal="center"/>
    </dxf>
    <dxf>
      <numFmt numFmtId="164" formatCode="&quot;$&quot;#,##0.00"/>
    </dxf>
    <dxf>
      <font>
        <name val="Angsana New"/>
        <family val="1"/>
        <charset val="222"/>
        <scheme val="none"/>
      </font>
    </dxf>
    <dxf>
      <font>
        <name val="Angsana New"/>
        <family val="1"/>
        <charset val="222"/>
        <scheme val="none"/>
      </font>
    </dxf>
    <dxf>
      <font>
        <name val="Angsana New"/>
        <family val="1"/>
        <charset val="222"/>
        <scheme val="none"/>
      </font>
    </dxf>
    <dxf>
      <font>
        <name val="Angsana New"/>
        <family val="1"/>
        <charset val="222"/>
        <scheme val="none"/>
      </font>
    </dxf>
    <dxf>
      <font>
        <name val="Angsana New"/>
        <family val="1"/>
        <charset val="222"/>
        <scheme val="none"/>
      </font>
    </dxf>
    <dxf>
      <font>
        <sz val="20"/>
      </font>
    </dxf>
    <dxf>
      <font>
        <sz val="20"/>
      </font>
    </dxf>
    <dxf>
      <font>
        <sz val="20"/>
      </font>
    </dxf>
    <dxf>
      <font>
        <sz val="20"/>
      </font>
    </dxf>
    <dxf>
      <font>
        <sz val="20"/>
      </font>
    </dxf>
    <dxf>
      <alignment horizontal="center"/>
    </dxf>
    <dxf>
      <alignment horizontal="center"/>
    </dxf>
    <dxf>
      <alignment horizontal="center"/>
    </dxf>
    <dxf>
      <alignment horizontal="center"/>
    </dxf>
    <dxf>
      <alignment horizontal="center"/>
    </dxf>
    <dxf>
      <numFmt numFmtId="164" formatCode="&quot;$&quot;#,##0.00"/>
    </dxf>
    <dxf>
      <numFmt numFmtId="3" formatCode="#,##0"/>
    </dxf>
    <dxf>
      <numFmt numFmtId="3" formatCode="#,##0"/>
    </dxf>
    <dxf>
      <font>
        <name val="Angsana New"/>
        <family val="1"/>
        <charset val="222"/>
        <scheme val="none"/>
      </font>
    </dxf>
    <dxf>
      <font>
        <name val="Angsana New"/>
        <family val="1"/>
        <charset val="222"/>
        <scheme val="none"/>
      </font>
    </dxf>
    <dxf>
      <font>
        <name val="Angsana New"/>
        <family val="1"/>
        <charset val="222"/>
        <scheme val="none"/>
      </font>
    </dxf>
    <dxf>
      <font>
        <name val="Angsana New"/>
        <family val="1"/>
        <charset val="222"/>
        <scheme val="none"/>
      </font>
    </dxf>
    <dxf>
      <font>
        <name val="Angsana New"/>
        <family val="1"/>
        <charset val="222"/>
        <scheme val="none"/>
      </font>
    </dxf>
    <dxf>
      <font>
        <sz val="20"/>
      </font>
    </dxf>
    <dxf>
      <font>
        <sz val="20"/>
      </font>
    </dxf>
    <dxf>
      <font>
        <sz val="20"/>
      </font>
    </dxf>
    <dxf>
      <font>
        <sz val="20"/>
      </font>
    </dxf>
    <dxf>
      <font>
        <sz val="20"/>
      </font>
    </dxf>
    <dxf>
      <alignment horizontal="center"/>
    </dxf>
    <dxf>
      <alignment horizontal="center"/>
    </dxf>
    <dxf>
      <alignment horizontal="center"/>
    </dxf>
    <dxf>
      <alignment horizontal="center"/>
    </dxf>
    <dxf>
      <alignment horizontal="center"/>
    </dxf>
    <dxf>
      <numFmt numFmtId="164" formatCode="&quot;$&quot;#,##0.00"/>
    </dxf>
    <dxf>
      <font>
        <name val="Angsana New"/>
        <family val="1"/>
        <charset val="222"/>
        <scheme val="none"/>
      </font>
    </dxf>
    <dxf>
      <font>
        <name val="Angsana New"/>
        <family val="1"/>
        <charset val="222"/>
        <scheme val="none"/>
      </font>
    </dxf>
    <dxf>
      <font>
        <name val="Angsana New"/>
        <family val="1"/>
        <charset val="222"/>
        <scheme val="none"/>
      </font>
    </dxf>
    <dxf>
      <font>
        <name val="Angsana New"/>
        <family val="1"/>
        <charset val="222"/>
        <scheme val="none"/>
      </font>
    </dxf>
    <dxf>
      <font>
        <name val="Angsana New"/>
        <family val="1"/>
        <charset val="222"/>
        <scheme val="none"/>
      </font>
    </dxf>
    <dxf>
      <font>
        <sz val="20"/>
      </font>
    </dxf>
    <dxf>
      <font>
        <sz val="20"/>
      </font>
    </dxf>
    <dxf>
      <font>
        <sz val="20"/>
      </font>
    </dxf>
    <dxf>
      <font>
        <sz val="20"/>
      </font>
    </dxf>
    <dxf>
      <font>
        <sz val="20"/>
      </font>
    </dxf>
    <dxf>
      <alignment horizontal="center"/>
    </dxf>
    <dxf>
      <alignment horizontal="center"/>
    </dxf>
    <dxf>
      <alignment horizontal="center"/>
    </dxf>
    <dxf>
      <alignment horizontal="center"/>
    </dxf>
    <dxf>
      <alignment horizontal="center"/>
    </dxf>
    <dxf>
      <numFmt numFmtId="164" formatCode="&quot;$&quot;#,##0.00"/>
    </dxf>
    <dxf>
      <font>
        <name val="Angsana New"/>
        <family val="1"/>
        <charset val="222"/>
        <scheme val="none"/>
      </font>
    </dxf>
    <dxf>
      <font>
        <name val="Angsana New"/>
        <family val="1"/>
        <charset val="222"/>
        <scheme val="none"/>
      </font>
    </dxf>
    <dxf>
      <font>
        <name val="Angsana New"/>
        <family val="1"/>
        <charset val="222"/>
        <scheme val="none"/>
      </font>
    </dxf>
    <dxf>
      <font>
        <name val="Angsana New"/>
        <family val="1"/>
        <charset val="222"/>
        <scheme val="none"/>
      </font>
    </dxf>
    <dxf>
      <font>
        <name val="Angsana New"/>
        <family val="1"/>
        <charset val="222"/>
        <scheme val="none"/>
      </font>
    </dxf>
    <dxf>
      <font>
        <name val="Angsana New"/>
        <family val="1"/>
        <charset val="222"/>
        <scheme val="none"/>
      </font>
    </dxf>
    <dxf>
      <font>
        <sz val="20"/>
      </font>
    </dxf>
    <dxf>
      <font>
        <sz val="20"/>
      </font>
    </dxf>
    <dxf>
      <font>
        <sz val="20"/>
      </font>
    </dxf>
    <dxf>
      <font>
        <sz val="20"/>
      </font>
    </dxf>
    <dxf>
      <font>
        <sz val="20"/>
      </font>
    </dxf>
    <dxf>
      <font>
        <sz val="20"/>
      </font>
    </dxf>
    <dxf>
      <alignment horizontal="center"/>
    </dxf>
    <dxf>
      <alignment horizontal="center"/>
    </dxf>
    <dxf>
      <alignment horizontal="center"/>
    </dxf>
    <dxf>
      <alignment horizontal="center"/>
    </dxf>
    <dxf>
      <alignment horizontal="center"/>
    </dxf>
    <dxf>
      <alignment horizontal="center"/>
    </dxf>
    <dxf>
      <numFmt numFmtId="164" formatCode="&quot;$&quot;#,##0.00"/>
    </dxf>
    <dxf>
      <font>
        <name val="Angsana New"/>
        <family val="1"/>
        <charset val="222"/>
        <scheme val="none"/>
      </font>
    </dxf>
    <dxf>
      <font>
        <name val="Angsana New"/>
        <family val="1"/>
        <charset val="222"/>
        <scheme val="none"/>
      </font>
    </dxf>
    <dxf>
      <font>
        <name val="Angsana New"/>
        <family val="1"/>
        <charset val="222"/>
        <scheme val="none"/>
      </font>
    </dxf>
    <dxf>
      <font>
        <name val="Angsana New"/>
        <family val="1"/>
        <charset val="222"/>
        <scheme val="none"/>
      </font>
    </dxf>
    <dxf>
      <font>
        <name val="Angsana New"/>
        <family val="1"/>
        <charset val="222"/>
        <scheme val="none"/>
      </font>
    </dxf>
    <dxf>
      <font>
        <sz val="20"/>
      </font>
    </dxf>
    <dxf>
      <font>
        <sz val="20"/>
      </font>
    </dxf>
    <dxf>
      <font>
        <sz val="20"/>
      </font>
    </dxf>
    <dxf>
      <font>
        <sz val="20"/>
      </font>
    </dxf>
    <dxf>
      <font>
        <sz val="20"/>
      </font>
    </dxf>
    <dxf>
      <alignment horizontal="center"/>
    </dxf>
    <dxf>
      <alignment horizontal="center"/>
    </dxf>
    <dxf>
      <alignment horizontal="center"/>
    </dxf>
    <dxf>
      <alignment horizontal="center"/>
    </dxf>
    <dxf>
      <alignment horizontal="center"/>
    </dxf>
    <dxf>
      <numFmt numFmtId="164" formatCode="&quot;$&quot;#,##0.00"/>
    </dxf>
    <dxf>
      <font>
        <name val="Angsana New"/>
        <family val="1"/>
        <charset val="222"/>
        <scheme val="none"/>
      </font>
    </dxf>
    <dxf>
      <font>
        <name val="Angsana New"/>
        <family val="1"/>
        <charset val="222"/>
        <scheme val="none"/>
      </font>
    </dxf>
    <dxf>
      <font>
        <name val="Angsana New"/>
        <family val="1"/>
        <charset val="222"/>
        <scheme val="none"/>
      </font>
    </dxf>
    <dxf>
      <font>
        <name val="Angsana New"/>
        <family val="1"/>
        <charset val="222"/>
        <scheme val="none"/>
      </font>
    </dxf>
    <dxf>
      <font>
        <name val="Angsana New"/>
        <family val="1"/>
        <charset val="222"/>
        <scheme val="none"/>
      </font>
    </dxf>
    <dxf>
      <font>
        <sz val="20"/>
      </font>
    </dxf>
    <dxf>
      <font>
        <sz val="20"/>
      </font>
    </dxf>
    <dxf>
      <font>
        <sz val="20"/>
      </font>
    </dxf>
    <dxf>
      <font>
        <sz val="20"/>
      </font>
    </dxf>
    <dxf>
      <font>
        <sz val="20"/>
      </font>
    </dxf>
    <dxf>
      <alignment horizontal="center"/>
    </dxf>
    <dxf>
      <alignment horizontal="center"/>
    </dxf>
    <dxf>
      <alignment horizontal="center"/>
    </dxf>
    <dxf>
      <alignment horizontal="center"/>
    </dxf>
    <dxf>
      <alignment horizontal="center"/>
    </dxf>
    <dxf>
      <numFmt numFmtId="164" formatCode="&quot;$&quot;#,##0.00"/>
    </dxf>
    <dxf>
      <font>
        <name val="Angsana New"/>
        <family val="1"/>
        <charset val="222"/>
        <scheme val="none"/>
      </font>
    </dxf>
    <dxf>
      <font>
        <name val="Angsana New"/>
        <family val="1"/>
        <charset val="222"/>
        <scheme val="none"/>
      </font>
    </dxf>
    <dxf>
      <font>
        <name val="Angsana New"/>
        <family val="1"/>
        <charset val="222"/>
        <scheme val="none"/>
      </font>
    </dxf>
    <dxf>
      <font>
        <name val="Angsana New"/>
        <family val="1"/>
        <charset val="222"/>
        <scheme val="none"/>
      </font>
    </dxf>
    <dxf>
      <font>
        <name val="Angsana New"/>
        <family val="1"/>
        <charset val="222"/>
        <scheme val="none"/>
      </font>
    </dxf>
    <dxf>
      <font>
        <sz val="20"/>
      </font>
    </dxf>
    <dxf>
      <font>
        <sz val="20"/>
      </font>
    </dxf>
    <dxf>
      <font>
        <sz val="20"/>
      </font>
    </dxf>
    <dxf>
      <font>
        <sz val="20"/>
      </font>
    </dxf>
    <dxf>
      <font>
        <sz val="20"/>
      </font>
    </dxf>
    <dxf>
      <alignment horizontal="center"/>
    </dxf>
    <dxf>
      <alignment horizontal="center"/>
    </dxf>
    <dxf>
      <alignment horizontal="center"/>
    </dxf>
    <dxf>
      <alignment horizontal="center"/>
    </dxf>
    <dxf>
      <alignment horizontal="center"/>
    </dxf>
    <dxf>
      <numFmt numFmtId="164" formatCode="&quot;$&quot;#,##0.00"/>
    </dxf>
    <dxf>
      <font>
        <name val="Angsana New"/>
        <family val="1"/>
        <charset val="222"/>
        <scheme val="none"/>
      </font>
    </dxf>
    <dxf>
      <font>
        <name val="Angsana New"/>
        <family val="1"/>
        <charset val="222"/>
        <scheme val="none"/>
      </font>
    </dxf>
    <dxf>
      <font>
        <name val="Angsana New"/>
        <family val="1"/>
        <charset val="222"/>
        <scheme val="none"/>
      </font>
    </dxf>
    <dxf>
      <font>
        <name val="Angsana New"/>
        <family val="1"/>
        <charset val="222"/>
        <scheme val="none"/>
      </font>
    </dxf>
    <dxf>
      <font>
        <name val="Angsana New"/>
        <family val="1"/>
        <charset val="222"/>
        <scheme val="none"/>
      </font>
    </dxf>
    <dxf>
      <font>
        <sz val="20"/>
      </font>
    </dxf>
    <dxf>
      <font>
        <sz val="20"/>
      </font>
    </dxf>
    <dxf>
      <font>
        <sz val="20"/>
      </font>
    </dxf>
    <dxf>
      <font>
        <sz val="20"/>
      </font>
    </dxf>
    <dxf>
      <font>
        <sz val="20"/>
      </font>
    </dxf>
    <dxf>
      <alignment horizontal="center"/>
    </dxf>
    <dxf>
      <alignment horizontal="center"/>
    </dxf>
    <dxf>
      <alignment horizontal="center"/>
    </dxf>
    <dxf>
      <alignment horizontal="center"/>
    </dxf>
    <dxf>
      <alignment horizontal="center"/>
    </dxf>
    <dxf>
      <numFmt numFmtId="3" formatCode="#,##0"/>
    </dxf>
    <dxf>
      <numFmt numFmtId="164" formatCode="&quot;$&quot;#,##0.00"/>
    </dxf>
    <dxf>
      <numFmt numFmtId="4" formatCode="#,##0.00"/>
    </dxf>
    <dxf>
      <font>
        <name val="Angsana New"/>
        <family val="1"/>
        <charset val="222"/>
        <scheme val="none"/>
      </font>
    </dxf>
    <dxf>
      <font>
        <name val="Angsana New"/>
        <family val="1"/>
        <charset val="222"/>
        <scheme val="none"/>
      </font>
    </dxf>
    <dxf>
      <font>
        <name val="Angsana New"/>
        <family val="1"/>
        <charset val="222"/>
        <scheme val="none"/>
      </font>
    </dxf>
    <dxf>
      <font>
        <name val="Angsana New"/>
        <family val="1"/>
        <charset val="222"/>
        <scheme val="none"/>
      </font>
    </dxf>
    <dxf>
      <font>
        <name val="Angsana New"/>
        <family val="1"/>
        <charset val="222"/>
        <scheme val="none"/>
      </font>
    </dxf>
    <dxf>
      <font>
        <sz val="20"/>
      </font>
    </dxf>
    <dxf>
      <font>
        <sz val="20"/>
      </font>
    </dxf>
    <dxf>
      <font>
        <sz val="20"/>
      </font>
    </dxf>
    <dxf>
      <font>
        <sz val="20"/>
      </font>
    </dxf>
    <dxf>
      <font>
        <sz val="20"/>
      </font>
    </dxf>
    <dxf>
      <alignment horizontal="center"/>
    </dxf>
    <dxf>
      <alignment horizontal="center"/>
    </dxf>
    <dxf>
      <alignment horizontal="center"/>
    </dxf>
    <dxf>
      <alignment horizontal="center"/>
    </dxf>
    <dxf>
      <alignment horizontal="center"/>
    </dxf>
    <dxf>
      <numFmt numFmtId="3" formatCode="#,##0"/>
    </dxf>
    <dxf>
      <font>
        <name val="Angsana New"/>
        <family val="1"/>
        <charset val="222"/>
        <scheme val="none"/>
      </font>
    </dxf>
    <dxf>
      <font>
        <name val="Angsana New"/>
        <family val="1"/>
        <charset val="222"/>
        <scheme val="none"/>
      </font>
    </dxf>
    <dxf>
      <font>
        <name val="Angsana New"/>
        <family val="1"/>
        <charset val="222"/>
        <scheme val="none"/>
      </font>
    </dxf>
    <dxf>
      <font>
        <name val="Angsana New"/>
        <family val="1"/>
        <charset val="222"/>
        <scheme val="none"/>
      </font>
    </dxf>
    <dxf>
      <font>
        <name val="Angsana New"/>
        <family val="1"/>
        <charset val="222"/>
        <scheme val="none"/>
      </font>
    </dxf>
    <dxf>
      <font>
        <sz val="20"/>
      </font>
    </dxf>
    <dxf>
      <font>
        <sz val="20"/>
      </font>
    </dxf>
    <dxf>
      <font>
        <sz val="20"/>
      </font>
    </dxf>
    <dxf>
      <font>
        <sz val="20"/>
      </font>
    </dxf>
    <dxf>
      <font>
        <sz val="20"/>
      </font>
    </dxf>
    <dxf>
      <alignment horizontal="center"/>
    </dxf>
    <dxf>
      <alignment horizontal="center"/>
    </dxf>
    <dxf>
      <alignment horizontal="center"/>
    </dxf>
    <dxf>
      <alignment horizontal="center"/>
    </dxf>
    <dxf>
      <alignment horizontal="center"/>
    </dxf>
    <dxf>
      <numFmt numFmtId="164" formatCode="&quot;$&quot;#,##0.00"/>
    </dxf>
    <dxf>
      <font>
        <name val="Angsana New"/>
        <family val="1"/>
        <charset val="222"/>
        <scheme val="none"/>
      </font>
    </dxf>
    <dxf>
      <font>
        <name val="Angsana New"/>
        <family val="1"/>
        <charset val="222"/>
        <scheme val="none"/>
      </font>
    </dxf>
    <dxf>
      <font>
        <name val="Angsana New"/>
        <family val="1"/>
        <charset val="222"/>
        <scheme val="none"/>
      </font>
    </dxf>
    <dxf>
      <font>
        <name val="Angsana New"/>
        <family val="1"/>
        <charset val="222"/>
        <scheme val="none"/>
      </font>
    </dxf>
    <dxf>
      <font>
        <name val="Angsana New"/>
        <family val="1"/>
        <charset val="222"/>
        <scheme val="none"/>
      </font>
    </dxf>
    <dxf>
      <font>
        <sz val="20"/>
      </font>
    </dxf>
    <dxf>
      <font>
        <sz val="20"/>
      </font>
    </dxf>
    <dxf>
      <font>
        <sz val="20"/>
      </font>
    </dxf>
    <dxf>
      <font>
        <sz val="20"/>
      </font>
    </dxf>
    <dxf>
      <font>
        <sz val="20"/>
      </font>
    </dxf>
    <dxf>
      <alignment horizontal="center"/>
    </dxf>
    <dxf>
      <alignment horizontal="center"/>
    </dxf>
    <dxf>
      <alignment horizontal="center"/>
    </dxf>
    <dxf>
      <alignment horizontal="center"/>
    </dxf>
    <dxf>
      <alignment horizontal="center"/>
    </dxf>
    <dxf>
      <numFmt numFmtId="164" formatCode="&quot;$&quot;#,##0.00"/>
    </dxf>
    <dxf>
      <font>
        <name val="Angsana New"/>
        <family val="1"/>
        <charset val="222"/>
        <scheme val="none"/>
      </font>
    </dxf>
    <dxf>
      <font>
        <name val="Angsana New"/>
        <family val="1"/>
        <charset val="222"/>
        <scheme val="none"/>
      </font>
    </dxf>
    <dxf>
      <font>
        <name val="Angsana New"/>
        <family val="1"/>
        <charset val="222"/>
        <scheme val="none"/>
      </font>
    </dxf>
    <dxf>
      <font>
        <name val="Angsana New"/>
        <family val="1"/>
        <charset val="222"/>
        <scheme val="none"/>
      </font>
    </dxf>
    <dxf>
      <font>
        <name val="Angsana New"/>
        <family val="1"/>
        <charset val="222"/>
        <scheme val="none"/>
      </font>
    </dxf>
    <dxf>
      <font>
        <sz val="20"/>
      </font>
    </dxf>
    <dxf>
      <font>
        <sz val="20"/>
      </font>
    </dxf>
    <dxf>
      <font>
        <sz val="20"/>
      </font>
    </dxf>
    <dxf>
      <font>
        <sz val="20"/>
      </font>
    </dxf>
    <dxf>
      <font>
        <sz val="20"/>
      </font>
    </dxf>
    <dxf>
      <alignment horizontal="center"/>
    </dxf>
    <dxf>
      <alignment horizontal="center"/>
    </dxf>
    <dxf>
      <alignment horizontal="center"/>
    </dxf>
    <dxf>
      <alignment horizontal="center"/>
    </dxf>
    <dxf>
      <alignment horizontal="center"/>
    </dxf>
    <dxf>
      <numFmt numFmtId="164" formatCode="&quot;$&quot;#,##0.00"/>
    </dxf>
    <dxf>
      <numFmt numFmtId="3" formatCode="#,##0"/>
    </dxf>
    <dxf>
      <numFmt numFmtId="3" formatCode="#,##0"/>
    </dxf>
    <dxf>
      <font>
        <name val="Angsana New"/>
        <family val="1"/>
        <charset val="222"/>
        <scheme val="none"/>
      </font>
    </dxf>
    <dxf>
      <font>
        <name val="Angsana New"/>
        <family val="1"/>
        <charset val="222"/>
        <scheme val="none"/>
      </font>
    </dxf>
    <dxf>
      <font>
        <name val="Angsana New"/>
        <family val="1"/>
        <charset val="222"/>
        <scheme val="none"/>
      </font>
    </dxf>
    <dxf>
      <font>
        <name val="Angsana New"/>
        <family val="1"/>
        <charset val="222"/>
        <scheme val="none"/>
      </font>
    </dxf>
    <dxf>
      <font>
        <name val="Angsana New"/>
        <family val="1"/>
        <charset val="222"/>
        <scheme val="none"/>
      </font>
    </dxf>
    <dxf>
      <font>
        <sz val="20"/>
      </font>
    </dxf>
    <dxf>
      <font>
        <sz val="20"/>
      </font>
    </dxf>
    <dxf>
      <font>
        <sz val="20"/>
      </font>
    </dxf>
    <dxf>
      <font>
        <sz val="20"/>
      </font>
    </dxf>
    <dxf>
      <font>
        <sz val="20"/>
      </font>
    </dxf>
    <dxf>
      <alignment horizontal="center"/>
    </dxf>
    <dxf>
      <alignment horizontal="center"/>
    </dxf>
    <dxf>
      <alignment horizontal="center"/>
    </dxf>
    <dxf>
      <alignment horizontal="center"/>
    </dxf>
    <dxf>
      <alignment horizontal="center"/>
    </dxf>
    <dxf>
      <numFmt numFmtId="164" formatCode="&quot;$&quot;#,##0.00"/>
    </dxf>
    <dxf>
      <font>
        <name val="Angsana New"/>
        <family val="1"/>
        <charset val="222"/>
        <scheme val="none"/>
      </font>
    </dxf>
    <dxf>
      <font>
        <name val="Angsana New"/>
        <family val="1"/>
        <charset val="222"/>
        <scheme val="none"/>
      </font>
    </dxf>
    <dxf>
      <font>
        <name val="Angsana New"/>
        <family val="1"/>
        <charset val="222"/>
        <scheme val="none"/>
      </font>
    </dxf>
    <dxf>
      <font>
        <name val="Angsana New"/>
        <family val="1"/>
        <charset val="222"/>
        <scheme val="none"/>
      </font>
    </dxf>
    <dxf>
      <font>
        <name val="Angsana New"/>
        <family val="1"/>
        <charset val="222"/>
        <scheme val="none"/>
      </font>
    </dxf>
    <dxf>
      <font>
        <sz val="20"/>
      </font>
    </dxf>
    <dxf>
      <font>
        <sz val="20"/>
      </font>
    </dxf>
    <dxf>
      <font>
        <sz val="20"/>
      </font>
    </dxf>
    <dxf>
      <font>
        <sz val="20"/>
      </font>
    </dxf>
    <dxf>
      <font>
        <sz val="20"/>
      </font>
    </dxf>
    <dxf>
      <alignment horizontal="center"/>
    </dxf>
    <dxf>
      <alignment horizontal="center"/>
    </dxf>
    <dxf>
      <alignment horizontal="center"/>
    </dxf>
    <dxf>
      <alignment horizontal="center"/>
    </dxf>
    <dxf>
      <alignment horizontal="center"/>
    </dxf>
    <dxf>
      <numFmt numFmtId="164" formatCode="&quot;$&quot;#,##0.00"/>
    </dxf>
    <dxf>
      <font>
        <name val="Angsana New"/>
        <family val="1"/>
        <charset val="222"/>
        <scheme val="none"/>
      </font>
    </dxf>
    <dxf>
      <font>
        <name val="Angsana New"/>
        <family val="1"/>
        <charset val="222"/>
        <scheme val="none"/>
      </font>
    </dxf>
    <dxf>
      <font>
        <name val="Angsana New"/>
        <family val="1"/>
        <charset val="222"/>
        <scheme val="none"/>
      </font>
    </dxf>
    <dxf>
      <font>
        <name val="Angsana New"/>
        <family val="1"/>
        <charset val="222"/>
        <scheme val="none"/>
      </font>
    </dxf>
    <dxf>
      <font>
        <name val="Angsana New"/>
        <family val="1"/>
        <charset val="222"/>
        <scheme val="none"/>
      </font>
    </dxf>
    <dxf>
      <font>
        <name val="Angsana New"/>
        <family val="1"/>
        <charset val="222"/>
        <scheme val="none"/>
      </font>
    </dxf>
    <dxf>
      <font>
        <sz val="20"/>
      </font>
    </dxf>
    <dxf>
      <font>
        <sz val="20"/>
      </font>
    </dxf>
    <dxf>
      <font>
        <sz val="20"/>
      </font>
    </dxf>
    <dxf>
      <font>
        <sz val="20"/>
      </font>
    </dxf>
    <dxf>
      <font>
        <sz val="20"/>
      </font>
    </dxf>
    <dxf>
      <font>
        <sz val="20"/>
      </font>
    </dxf>
    <dxf>
      <alignment horizontal="center"/>
    </dxf>
    <dxf>
      <alignment horizontal="center"/>
    </dxf>
    <dxf>
      <alignment horizontal="center"/>
    </dxf>
    <dxf>
      <alignment horizontal="center"/>
    </dxf>
    <dxf>
      <alignment horizontal="center"/>
    </dxf>
    <dxf>
      <alignment horizontal="center"/>
    </dxf>
    <dxf>
      <numFmt numFmtId="164" formatCode="&quot;$&quot;#,##0.00"/>
    </dxf>
    <dxf>
      <font>
        <name val="Angsana New"/>
        <family val="1"/>
        <charset val="222"/>
        <scheme val="none"/>
      </font>
    </dxf>
    <dxf>
      <font>
        <name val="Angsana New"/>
        <family val="1"/>
        <charset val="222"/>
        <scheme val="none"/>
      </font>
    </dxf>
    <dxf>
      <font>
        <name val="Angsana New"/>
        <family val="1"/>
        <charset val="222"/>
        <scheme val="none"/>
      </font>
    </dxf>
    <dxf>
      <font>
        <name val="Angsana New"/>
        <family val="1"/>
        <charset val="222"/>
        <scheme val="none"/>
      </font>
    </dxf>
    <dxf>
      <font>
        <name val="Angsana New"/>
        <family val="1"/>
        <charset val="222"/>
        <scheme val="none"/>
      </font>
    </dxf>
    <dxf>
      <font>
        <sz val="20"/>
      </font>
    </dxf>
    <dxf>
      <font>
        <sz val="20"/>
      </font>
    </dxf>
    <dxf>
      <font>
        <sz val="20"/>
      </font>
    </dxf>
    <dxf>
      <font>
        <sz val="20"/>
      </font>
    </dxf>
    <dxf>
      <font>
        <sz val="20"/>
      </font>
    </dxf>
    <dxf>
      <alignment horizontal="center"/>
    </dxf>
    <dxf>
      <alignment horizontal="center"/>
    </dxf>
    <dxf>
      <alignment horizontal="center"/>
    </dxf>
    <dxf>
      <alignment horizontal="center"/>
    </dxf>
    <dxf>
      <alignment horizontal="center"/>
    </dxf>
    <dxf>
      <numFmt numFmtId="164" formatCode="&quot;$&quot;#,##0.00"/>
    </dxf>
    <dxf>
      <font>
        <name val="Angsana New"/>
        <family val="1"/>
        <charset val="222"/>
        <scheme val="none"/>
      </font>
    </dxf>
    <dxf>
      <font>
        <name val="Angsana New"/>
        <family val="1"/>
        <charset val="222"/>
        <scheme val="none"/>
      </font>
    </dxf>
    <dxf>
      <font>
        <name val="Angsana New"/>
        <family val="1"/>
        <charset val="222"/>
        <scheme val="none"/>
      </font>
    </dxf>
    <dxf>
      <font>
        <name val="Angsana New"/>
        <family val="1"/>
        <charset val="222"/>
        <scheme val="none"/>
      </font>
    </dxf>
    <dxf>
      <font>
        <name val="Angsana New"/>
        <family val="1"/>
        <charset val="222"/>
        <scheme val="none"/>
      </font>
    </dxf>
    <dxf>
      <font>
        <sz val="20"/>
      </font>
    </dxf>
    <dxf>
      <font>
        <sz val="20"/>
      </font>
    </dxf>
    <dxf>
      <font>
        <sz val="20"/>
      </font>
    </dxf>
    <dxf>
      <font>
        <sz val="20"/>
      </font>
    </dxf>
    <dxf>
      <font>
        <sz val="20"/>
      </font>
    </dxf>
    <dxf>
      <alignment horizontal="center"/>
    </dxf>
    <dxf>
      <alignment horizontal="center"/>
    </dxf>
    <dxf>
      <alignment horizontal="center"/>
    </dxf>
    <dxf>
      <alignment horizontal="center"/>
    </dxf>
    <dxf>
      <alignment horizontal="center"/>
    </dxf>
    <dxf>
      <numFmt numFmtId="164" formatCode="&quot;$&quot;#,##0.00"/>
    </dxf>
    <dxf>
      <font>
        <name val="Angsana New"/>
        <family val="1"/>
        <charset val="222"/>
        <scheme val="none"/>
      </font>
    </dxf>
    <dxf>
      <font>
        <name val="Angsana New"/>
        <family val="1"/>
        <charset val="222"/>
        <scheme val="none"/>
      </font>
    </dxf>
    <dxf>
      <font>
        <name val="Angsana New"/>
        <family val="1"/>
        <charset val="222"/>
        <scheme val="none"/>
      </font>
    </dxf>
    <dxf>
      <font>
        <name val="Angsana New"/>
        <family val="1"/>
        <charset val="222"/>
        <scheme val="none"/>
      </font>
    </dxf>
    <dxf>
      <font>
        <name val="Angsana New"/>
        <family val="1"/>
        <charset val="222"/>
        <scheme val="none"/>
      </font>
    </dxf>
    <dxf>
      <font>
        <sz val="20"/>
      </font>
    </dxf>
    <dxf>
      <font>
        <sz val="20"/>
      </font>
    </dxf>
    <dxf>
      <font>
        <sz val="20"/>
      </font>
    </dxf>
    <dxf>
      <font>
        <sz val="20"/>
      </font>
    </dxf>
    <dxf>
      <font>
        <sz val="20"/>
      </font>
    </dxf>
    <dxf>
      <alignment horizontal="center"/>
    </dxf>
    <dxf>
      <alignment horizontal="center"/>
    </dxf>
    <dxf>
      <alignment horizontal="center"/>
    </dxf>
    <dxf>
      <alignment horizontal="center"/>
    </dxf>
    <dxf>
      <alignment horizontal="center"/>
    </dxf>
    <dxf>
      <numFmt numFmtId="164" formatCode="&quot;$&quot;#,##0.00"/>
    </dxf>
    <dxf>
      <font>
        <name val="Angsana New"/>
        <family val="1"/>
        <charset val="222"/>
        <scheme val="none"/>
      </font>
    </dxf>
    <dxf>
      <font>
        <name val="Angsana New"/>
        <family val="1"/>
        <charset val="222"/>
        <scheme val="none"/>
      </font>
    </dxf>
    <dxf>
      <font>
        <name val="Angsana New"/>
        <family val="1"/>
        <charset val="222"/>
        <scheme val="none"/>
      </font>
    </dxf>
    <dxf>
      <font>
        <name val="Angsana New"/>
        <family val="1"/>
        <charset val="222"/>
        <scheme val="none"/>
      </font>
    </dxf>
    <dxf>
      <font>
        <name val="Angsana New"/>
        <family val="1"/>
        <charset val="222"/>
        <scheme val="none"/>
      </font>
    </dxf>
    <dxf>
      <font>
        <sz val="20"/>
      </font>
    </dxf>
    <dxf>
      <font>
        <sz val="20"/>
      </font>
    </dxf>
    <dxf>
      <font>
        <sz val="20"/>
      </font>
    </dxf>
    <dxf>
      <font>
        <sz val="20"/>
      </font>
    </dxf>
    <dxf>
      <font>
        <sz val="20"/>
      </font>
    </dxf>
    <dxf>
      <alignment horizontal="center"/>
    </dxf>
    <dxf>
      <alignment horizontal="center"/>
    </dxf>
    <dxf>
      <alignment horizontal="center"/>
    </dxf>
    <dxf>
      <alignment horizontal="center"/>
    </dxf>
    <dxf>
      <alignment horizontal="center"/>
    </dxf>
    <dxf>
      <numFmt numFmtId="3" formatCode="#,##0"/>
    </dxf>
    <dxf>
      <numFmt numFmtId="164" formatCode="&quot;$&quot;#,##0.00"/>
    </dxf>
    <dxf>
      <numFmt numFmtId="4" formatCode="#,##0.00"/>
    </dxf>
    <dxf>
      <font>
        <name val="Angsana New"/>
        <family val="1"/>
        <charset val="222"/>
        <scheme val="none"/>
      </font>
    </dxf>
    <dxf>
      <font>
        <name val="Angsana New"/>
        <family val="1"/>
        <charset val="222"/>
        <scheme val="none"/>
      </font>
    </dxf>
    <dxf>
      <font>
        <name val="Angsana New"/>
        <family val="1"/>
        <charset val="222"/>
        <scheme val="none"/>
      </font>
    </dxf>
    <dxf>
      <font>
        <name val="Angsana New"/>
        <family val="1"/>
        <charset val="222"/>
        <scheme val="none"/>
      </font>
    </dxf>
    <dxf>
      <font>
        <name val="Angsana New"/>
        <family val="1"/>
        <charset val="222"/>
        <scheme val="none"/>
      </font>
    </dxf>
    <dxf>
      <font>
        <sz val="20"/>
      </font>
    </dxf>
    <dxf>
      <font>
        <sz val="20"/>
      </font>
    </dxf>
    <dxf>
      <font>
        <sz val="20"/>
      </font>
    </dxf>
    <dxf>
      <font>
        <sz val="20"/>
      </font>
    </dxf>
    <dxf>
      <font>
        <sz val="20"/>
      </font>
    </dxf>
    <dxf>
      <alignment horizontal="center"/>
    </dxf>
    <dxf>
      <alignment horizontal="center"/>
    </dxf>
    <dxf>
      <alignment horizontal="center"/>
    </dxf>
    <dxf>
      <alignment horizontal="center"/>
    </dxf>
    <dxf>
      <alignment horizontal="center"/>
    </dxf>
    <dxf>
      <numFmt numFmtId="3" formatCode="#,##0"/>
    </dxf>
    <dxf>
      <font>
        <name val="Angsana New"/>
        <family val="1"/>
        <charset val="222"/>
        <scheme val="none"/>
      </font>
    </dxf>
    <dxf>
      <font>
        <name val="Angsana New"/>
        <family val="1"/>
        <charset val="222"/>
        <scheme val="none"/>
      </font>
    </dxf>
    <dxf>
      <font>
        <name val="Angsana New"/>
        <family val="1"/>
        <charset val="222"/>
        <scheme val="none"/>
      </font>
    </dxf>
    <dxf>
      <font>
        <name val="Angsana New"/>
        <family val="1"/>
        <charset val="222"/>
        <scheme val="none"/>
      </font>
    </dxf>
    <dxf>
      <font>
        <name val="Angsana New"/>
        <family val="1"/>
        <charset val="222"/>
        <scheme val="none"/>
      </font>
    </dxf>
    <dxf>
      <font>
        <sz val="20"/>
      </font>
    </dxf>
    <dxf>
      <font>
        <sz val="20"/>
      </font>
    </dxf>
    <dxf>
      <font>
        <sz val="20"/>
      </font>
    </dxf>
    <dxf>
      <font>
        <sz val="20"/>
      </font>
    </dxf>
    <dxf>
      <font>
        <sz val="20"/>
      </font>
    </dxf>
    <dxf>
      <alignment horizontal="center"/>
    </dxf>
    <dxf>
      <alignment horizontal="center"/>
    </dxf>
    <dxf>
      <alignment horizontal="center"/>
    </dxf>
    <dxf>
      <alignment horizontal="center"/>
    </dxf>
    <dxf>
      <alignment horizontal="center"/>
    </dxf>
    <dxf>
      <numFmt numFmtId="164" formatCode="&quot;$&quot;#,##0.00"/>
    </dxf>
    <dxf>
      <font>
        <name val="Angsana New"/>
        <family val="1"/>
        <charset val="222"/>
        <scheme val="none"/>
      </font>
    </dxf>
    <dxf>
      <font>
        <name val="Angsana New"/>
        <family val="1"/>
        <charset val="222"/>
        <scheme val="none"/>
      </font>
    </dxf>
    <dxf>
      <font>
        <name val="Angsana New"/>
        <family val="1"/>
        <charset val="222"/>
        <scheme val="none"/>
      </font>
    </dxf>
    <dxf>
      <font>
        <name val="Angsana New"/>
        <family val="1"/>
        <charset val="222"/>
        <scheme val="none"/>
      </font>
    </dxf>
    <dxf>
      <font>
        <name val="Angsana New"/>
        <family val="1"/>
        <charset val="222"/>
        <scheme val="none"/>
      </font>
    </dxf>
    <dxf>
      <font>
        <sz val="20"/>
      </font>
    </dxf>
    <dxf>
      <font>
        <sz val="20"/>
      </font>
    </dxf>
    <dxf>
      <font>
        <sz val="20"/>
      </font>
    </dxf>
    <dxf>
      <font>
        <sz val="20"/>
      </font>
    </dxf>
    <dxf>
      <font>
        <sz val="20"/>
      </font>
    </dxf>
    <dxf>
      <alignment horizontal="center"/>
    </dxf>
    <dxf>
      <alignment horizontal="center"/>
    </dxf>
    <dxf>
      <alignment horizontal="center"/>
    </dxf>
    <dxf>
      <alignment horizontal="center"/>
    </dxf>
    <dxf>
      <alignment horizontal="center"/>
    </dxf>
    <dxf>
      <numFmt numFmtId="164" formatCode="&quot;$&quot;#,##0.00"/>
    </dxf>
    <dxf>
      <font>
        <name val="Angsana New"/>
        <family val="1"/>
        <charset val="222"/>
        <scheme val="none"/>
      </font>
    </dxf>
    <dxf>
      <font>
        <name val="Angsana New"/>
        <family val="1"/>
        <charset val="222"/>
        <scheme val="none"/>
      </font>
    </dxf>
    <dxf>
      <font>
        <name val="Angsana New"/>
        <family val="1"/>
        <charset val="222"/>
        <scheme val="none"/>
      </font>
    </dxf>
    <dxf>
      <font>
        <name val="Angsana New"/>
        <family val="1"/>
        <charset val="222"/>
        <scheme val="none"/>
      </font>
    </dxf>
    <dxf>
      <font>
        <name val="Angsana New"/>
        <family val="1"/>
        <charset val="222"/>
        <scheme val="none"/>
      </font>
    </dxf>
    <dxf>
      <font>
        <sz val="20"/>
      </font>
    </dxf>
    <dxf>
      <font>
        <sz val="20"/>
      </font>
    </dxf>
    <dxf>
      <font>
        <sz val="20"/>
      </font>
    </dxf>
    <dxf>
      <font>
        <sz val="20"/>
      </font>
    </dxf>
    <dxf>
      <font>
        <sz val="20"/>
      </font>
    </dxf>
    <dxf>
      <alignment horizontal="center"/>
    </dxf>
    <dxf>
      <alignment horizontal="center"/>
    </dxf>
    <dxf>
      <alignment horizontal="center"/>
    </dxf>
    <dxf>
      <alignment horizontal="center"/>
    </dxf>
    <dxf>
      <alignment horizontal="center"/>
    </dxf>
    <dxf>
      <numFmt numFmtId="164" formatCode="&quot;$&quot;#,##0.00"/>
    </dxf>
    <dxf>
      <numFmt numFmtId="3" formatCode="#,##0"/>
    </dxf>
    <dxf>
      <numFmt numFmtId="3" formatCode="#,##0"/>
    </dxf>
    <dxf>
      <font>
        <name val="Angsana New"/>
        <family val="1"/>
        <charset val="222"/>
        <scheme val="none"/>
      </font>
    </dxf>
    <dxf>
      <font>
        <name val="Angsana New"/>
        <family val="1"/>
        <charset val="222"/>
        <scheme val="none"/>
      </font>
    </dxf>
    <dxf>
      <font>
        <name val="Angsana New"/>
        <family val="1"/>
        <charset val="222"/>
        <scheme val="none"/>
      </font>
    </dxf>
    <dxf>
      <font>
        <name val="Angsana New"/>
        <family val="1"/>
        <charset val="222"/>
        <scheme val="none"/>
      </font>
    </dxf>
    <dxf>
      <font>
        <name val="Angsana New"/>
        <family val="1"/>
        <charset val="222"/>
        <scheme val="none"/>
      </font>
    </dxf>
    <dxf>
      <font>
        <sz val="20"/>
      </font>
    </dxf>
    <dxf>
      <font>
        <sz val="20"/>
      </font>
    </dxf>
    <dxf>
      <font>
        <sz val="20"/>
      </font>
    </dxf>
    <dxf>
      <font>
        <sz val="20"/>
      </font>
    </dxf>
    <dxf>
      <font>
        <sz val="20"/>
      </font>
    </dxf>
    <dxf>
      <alignment horizontal="center"/>
    </dxf>
    <dxf>
      <alignment horizontal="center"/>
    </dxf>
    <dxf>
      <alignment horizontal="center"/>
    </dxf>
    <dxf>
      <alignment horizontal="center"/>
    </dxf>
    <dxf>
      <alignment horizontal="center"/>
    </dxf>
    <dxf>
      <numFmt numFmtId="164" formatCode="&quot;$&quot;#,##0.00"/>
    </dxf>
    <dxf>
      <font>
        <name val="Angsana New"/>
        <family val="1"/>
        <charset val="222"/>
        <scheme val="none"/>
      </font>
    </dxf>
    <dxf>
      <font>
        <name val="Angsana New"/>
        <family val="1"/>
        <charset val="222"/>
        <scheme val="none"/>
      </font>
    </dxf>
    <dxf>
      <font>
        <name val="Angsana New"/>
        <family val="1"/>
        <charset val="222"/>
        <scheme val="none"/>
      </font>
    </dxf>
    <dxf>
      <font>
        <name val="Angsana New"/>
        <family val="1"/>
        <charset val="222"/>
        <scheme val="none"/>
      </font>
    </dxf>
    <dxf>
      <font>
        <name val="Angsana New"/>
        <family val="1"/>
        <charset val="222"/>
        <scheme val="none"/>
      </font>
    </dxf>
    <dxf>
      <font>
        <sz val="20"/>
      </font>
    </dxf>
    <dxf>
      <font>
        <sz val="20"/>
      </font>
    </dxf>
    <dxf>
      <font>
        <sz val="20"/>
      </font>
    </dxf>
    <dxf>
      <font>
        <sz val="20"/>
      </font>
    </dxf>
    <dxf>
      <font>
        <sz val="20"/>
      </font>
    </dxf>
    <dxf>
      <alignment horizontal="center"/>
    </dxf>
    <dxf>
      <alignment horizontal="center"/>
    </dxf>
    <dxf>
      <alignment horizontal="center"/>
    </dxf>
    <dxf>
      <alignment horizontal="center"/>
    </dxf>
    <dxf>
      <alignment horizontal="center"/>
    </dxf>
    <dxf>
      <numFmt numFmtId="164" formatCode="&quot;$&quot;#,##0.00"/>
    </dxf>
    <dxf>
      <font>
        <name val="Angsana New"/>
        <family val="1"/>
        <charset val="222"/>
        <scheme val="none"/>
      </font>
    </dxf>
    <dxf>
      <font>
        <name val="Angsana New"/>
        <family val="1"/>
        <charset val="222"/>
        <scheme val="none"/>
      </font>
    </dxf>
    <dxf>
      <font>
        <name val="Angsana New"/>
        <family val="1"/>
        <charset val="222"/>
        <scheme val="none"/>
      </font>
    </dxf>
    <dxf>
      <font>
        <name val="Angsana New"/>
        <family val="1"/>
        <charset val="222"/>
        <scheme val="none"/>
      </font>
    </dxf>
    <dxf>
      <font>
        <name val="Angsana New"/>
        <family val="1"/>
        <charset val="222"/>
        <scheme val="none"/>
      </font>
    </dxf>
    <dxf>
      <font>
        <name val="Angsana New"/>
        <family val="1"/>
        <charset val="222"/>
        <scheme val="none"/>
      </font>
    </dxf>
    <dxf>
      <font>
        <sz val="20"/>
      </font>
    </dxf>
    <dxf>
      <font>
        <sz val="20"/>
      </font>
    </dxf>
    <dxf>
      <font>
        <sz val="20"/>
      </font>
    </dxf>
    <dxf>
      <font>
        <sz val="20"/>
      </font>
    </dxf>
    <dxf>
      <font>
        <sz val="20"/>
      </font>
    </dxf>
    <dxf>
      <font>
        <sz val="20"/>
      </font>
    </dxf>
    <dxf>
      <alignment horizontal="center"/>
    </dxf>
    <dxf>
      <alignment horizontal="center"/>
    </dxf>
    <dxf>
      <alignment horizontal="center"/>
    </dxf>
    <dxf>
      <alignment horizontal="center"/>
    </dxf>
    <dxf>
      <alignment horizontal="center"/>
    </dxf>
    <dxf>
      <alignment horizontal="center"/>
    </dxf>
    <dxf>
      <numFmt numFmtId="164" formatCode="&quot;$&quot;#,##0.00"/>
    </dxf>
    <dxf>
      <font>
        <strike val="0"/>
        <outline val="0"/>
        <shadow val="0"/>
        <u val="none"/>
        <vertAlign val="baseline"/>
        <sz val="20"/>
        <color theme="1"/>
        <name val="Angsana New"/>
        <family val="1"/>
        <charset val="222"/>
        <scheme val="none"/>
      </font>
      <numFmt numFmtId="164" formatCode="&quot;$&quot;#,##0.00"/>
      <alignment horizontal="center" vertical="bottom" textRotation="0" wrapText="0" indent="0" justifyLastLine="0" shrinkToFit="0" readingOrder="0"/>
    </dxf>
    <dxf>
      <font>
        <strike val="0"/>
        <outline val="0"/>
        <shadow val="0"/>
        <u val="none"/>
        <vertAlign val="baseline"/>
        <sz val="20"/>
        <color theme="1"/>
        <name val="Angsana New"/>
        <family val="1"/>
        <charset val="222"/>
        <scheme val="none"/>
      </font>
      <numFmt numFmtId="2" formatCode="0.00"/>
      <alignment horizontal="center" vertical="bottom" textRotation="0" wrapText="0" indent="0" justifyLastLine="0" shrinkToFit="0" readingOrder="0"/>
    </dxf>
    <dxf>
      <font>
        <strike val="0"/>
        <outline val="0"/>
        <shadow val="0"/>
        <u val="none"/>
        <vertAlign val="baseline"/>
        <sz val="20"/>
        <color theme="1"/>
        <name val="Angsana New"/>
        <family val="1"/>
        <charset val="222"/>
        <scheme val="none"/>
      </font>
      <numFmt numFmtId="1" formatCode="0"/>
      <alignment horizontal="center" vertical="bottom" textRotation="0" wrapText="0" indent="0" justifyLastLine="0" shrinkToFit="0" readingOrder="0"/>
    </dxf>
    <dxf>
      <font>
        <b val="0"/>
        <i val="0"/>
        <strike val="0"/>
        <condense val="0"/>
        <extend val="0"/>
        <outline val="0"/>
        <shadow val="0"/>
        <u val="none"/>
        <vertAlign val="baseline"/>
        <sz val="20"/>
        <color theme="1"/>
        <name val="Angsana New"/>
        <family val="1"/>
        <charset val="222"/>
        <scheme val="none"/>
      </font>
      <numFmt numFmtId="0" formatCode="General"/>
      <alignment horizontal="center" vertical="bottom" textRotation="0" wrapText="0" indent="0" justifyLastLine="0" shrinkToFit="0" readingOrder="0"/>
    </dxf>
    <dxf>
      <font>
        <b val="0"/>
        <i val="0"/>
        <strike val="0"/>
        <condense val="0"/>
        <extend val="0"/>
        <outline val="0"/>
        <shadow val="0"/>
        <u val="none"/>
        <vertAlign val="baseline"/>
        <sz val="20"/>
        <color theme="1"/>
        <name val="Angsana New"/>
        <family val="1"/>
        <charset val="222"/>
        <scheme val="none"/>
      </font>
      <numFmt numFmtId="0" formatCode="General"/>
      <alignment horizontal="center" vertical="bottom" textRotation="0" wrapText="0" indent="0" justifyLastLine="0" shrinkToFit="0" readingOrder="0"/>
    </dxf>
    <dxf>
      <font>
        <b val="0"/>
        <i val="0"/>
        <strike val="0"/>
        <condense val="0"/>
        <extend val="0"/>
        <outline val="0"/>
        <shadow val="0"/>
        <u val="none"/>
        <vertAlign val="baseline"/>
        <sz val="20"/>
        <color theme="1"/>
        <name val="Angsana New"/>
        <family val="1"/>
        <charset val="222"/>
        <scheme val="none"/>
      </font>
      <numFmt numFmtId="0" formatCode="General"/>
      <alignment horizontal="center" vertical="bottom" textRotation="0" wrapText="0" indent="0" justifyLastLine="0" shrinkToFit="0" readingOrder="0"/>
    </dxf>
    <dxf>
      <font>
        <strike val="0"/>
        <outline val="0"/>
        <shadow val="0"/>
        <u val="none"/>
        <vertAlign val="baseline"/>
        <sz val="20"/>
        <color theme="1"/>
        <name val="Angsana New"/>
        <family val="1"/>
        <charset val="222"/>
        <scheme val="none"/>
      </font>
      <numFmt numFmtId="19" formatCode="m/d/yyyy"/>
      <alignment horizontal="center" vertical="bottom" textRotation="0" wrapText="0" indent="0" justifyLastLine="0" shrinkToFit="0" readingOrder="0"/>
    </dxf>
    <dxf>
      <font>
        <strike val="0"/>
        <outline val="0"/>
        <shadow val="0"/>
        <u val="none"/>
        <vertAlign val="baseline"/>
        <sz val="20"/>
        <color theme="1"/>
        <name val="Angsana New"/>
        <family val="1"/>
        <charset val="222"/>
        <scheme val="none"/>
      </font>
      <numFmt numFmtId="0" formatCode="General"/>
      <alignment horizontal="center" vertical="bottom" textRotation="0" wrapText="0" indent="0" justifyLastLine="0" shrinkToFit="0" readingOrder="0"/>
    </dxf>
    <dxf>
      <font>
        <strike val="0"/>
        <outline val="0"/>
        <shadow val="0"/>
        <u val="none"/>
        <vertAlign val="baseline"/>
        <sz val="20"/>
        <color theme="1"/>
        <name val="Angsana New"/>
        <family val="1"/>
        <charset val="222"/>
        <scheme val="none"/>
      </font>
      <numFmt numFmtId="0" formatCode="General"/>
      <alignment horizontal="center" vertical="bottom" textRotation="0" wrapText="0" indent="0" justifyLastLine="0" shrinkToFit="0" readingOrder="0"/>
    </dxf>
    <dxf>
      <font>
        <strike val="0"/>
        <outline val="0"/>
        <shadow val="0"/>
        <u val="none"/>
        <vertAlign val="baseline"/>
        <sz val="20"/>
        <color theme="1"/>
        <name val="Angsana New"/>
        <family val="1"/>
        <charset val="222"/>
        <scheme val="none"/>
      </font>
      <numFmt numFmtId="0" formatCode="General"/>
      <alignment horizontal="center" vertical="bottom" textRotation="0" wrapText="0" indent="0" justifyLastLine="0" shrinkToFit="0" readingOrder="0"/>
    </dxf>
    <dxf>
      <font>
        <strike val="0"/>
        <outline val="0"/>
        <shadow val="0"/>
        <u val="none"/>
        <vertAlign val="baseline"/>
        <sz val="20"/>
        <color theme="1"/>
        <name val="Angsana New"/>
        <family val="1"/>
        <charset val="222"/>
        <scheme val="none"/>
      </font>
      <numFmt numFmtId="0" formatCode="General"/>
      <alignment horizontal="center" vertical="bottom" textRotation="0" wrapText="0" indent="0" justifyLastLine="0" shrinkToFit="0" readingOrder="0"/>
    </dxf>
    <dxf>
      <font>
        <strike val="0"/>
        <outline val="0"/>
        <shadow val="0"/>
        <u val="none"/>
        <vertAlign val="baseline"/>
        <sz val="20"/>
        <color theme="1"/>
        <name val="Angsana New"/>
        <family val="1"/>
        <charset val="222"/>
        <scheme val="none"/>
      </font>
      <numFmt numFmtId="0" formatCode="General"/>
      <alignment horizontal="center" vertical="bottom" textRotation="0" wrapText="0" indent="0" justifyLastLine="0" shrinkToFit="0" readingOrder="0"/>
    </dxf>
    <dxf>
      <font>
        <strike val="0"/>
        <outline val="0"/>
        <shadow val="0"/>
        <u val="none"/>
        <vertAlign val="baseline"/>
        <sz val="20"/>
        <color theme="1"/>
        <name val="Angsana New"/>
        <family val="1"/>
        <charset val="222"/>
        <scheme val="none"/>
      </font>
      <alignment horizontal="center" vertical="bottom" textRotation="0" wrapText="0" indent="0" justifyLastLine="0" shrinkToFit="0" readingOrder="0"/>
    </dxf>
    <dxf>
      <font>
        <strike val="0"/>
        <outline val="0"/>
        <shadow val="0"/>
        <u val="none"/>
        <vertAlign val="baseline"/>
        <sz val="20"/>
        <color theme="1"/>
        <name val="Angsana New"/>
        <family val="1"/>
        <charset val="222"/>
        <scheme val="none"/>
      </font>
      <alignment horizontal="center" vertical="bottom" textRotation="0" wrapText="0" indent="0" justifyLastLine="0" shrinkToFit="0" readingOrder="0"/>
    </dxf>
    <dxf>
      <numFmt numFmtId="3" formatCode="#,##0"/>
    </dxf>
    <dxf>
      <alignment horizontal="center"/>
    </dxf>
    <dxf>
      <alignment horizontal="center"/>
    </dxf>
    <dxf>
      <alignment horizontal="center"/>
    </dxf>
    <dxf>
      <alignment horizontal="center"/>
    </dxf>
    <dxf>
      <alignment horizontal="center"/>
    </dxf>
    <dxf>
      <font>
        <sz val="20"/>
      </font>
    </dxf>
    <dxf>
      <font>
        <sz val="20"/>
      </font>
    </dxf>
    <dxf>
      <font>
        <sz val="20"/>
      </font>
    </dxf>
    <dxf>
      <font>
        <sz val="20"/>
      </font>
    </dxf>
    <dxf>
      <font>
        <sz val="20"/>
      </font>
    </dxf>
    <dxf>
      <font>
        <name val="Angsana New"/>
        <family val="1"/>
        <charset val="222"/>
        <scheme val="none"/>
      </font>
    </dxf>
    <dxf>
      <font>
        <name val="Angsana New"/>
        <family val="1"/>
        <charset val="222"/>
        <scheme val="none"/>
      </font>
    </dxf>
    <dxf>
      <font>
        <name val="Angsana New"/>
        <family val="1"/>
        <charset val="222"/>
        <scheme val="none"/>
      </font>
    </dxf>
    <dxf>
      <font>
        <name val="Angsana New"/>
        <family val="1"/>
        <charset val="222"/>
        <scheme val="none"/>
      </font>
    </dxf>
    <dxf>
      <font>
        <name val="Angsana New"/>
        <family val="1"/>
        <charset val="222"/>
        <scheme val="none"/>
      </font>
    </dxf>
    <dxf>
      <numFmt numFmtId="164" formatCode="&quot;$&quot;#,##0.00"/>
    </dxf>
    <dxf>
      <alignment horizontal="center"/>
    </dxf>
    <dxf>
      <alignment horizontal="center"/>
    </dxf>
    <dxf>
      <alignment horizontal="center"/>
    </dxf>
    <dxf>
      <alignment horizontal="center"/>
    </dxf>
    <dxf>
      <alignment horizontal="center"/>
    </dxf>
    <dxf>
      <font>
        <sz val="20"/>
      </font>
    </dxf>
    <dxf>
      <font>
        <sz val="20"/>
      </font>
    </dxf>
    <dxf>
      <font>
        <sz val="20"/>
      </font>
    </dxf>
    <dxf>
      <font>
        <sz val="20"/>
      </font>
    </dxf>
    <dxf>
      <font>
        <sz val="20"/>
      </font>
    </dxf>
    <dxf>
      <font>
        <name val="Angsana New"/>
        <family val="1"/>
        <charset val="222"/>
        <scheme val="none"/>
      </font>
    </dxf>
    <dxf>
      <font>
        <name val="Angsana New"/>
        <family val="1"/>
        <charset val="222"/>
        <scheme val="none"/>
      </font>
    </dxf>
    <dxf>
      <font>
        <name val="Angsana New"/>
        <family val="1"/>
        <charset val="222"/>
        <scheme val="none"/>
      </font>
    </dxf>
    <dxf>
      <font>
        <name val="Angsana New"/>
        <family val="1"/>
        <charset val="222"/>
        <scheme val="none"/>
      </font>
    </dxf>
    <dxf>
      <font>
        <name val="Angsana New"/>
        <family val="1"/>
        <charset val="222"/>
        <scheme val="none"/>
      </font>
    </dxf>
    <dxf>
      <numFmt numFmtId="164" formatCode="&quot;$&quot;#,##0.00"/>
    </dxf>
    <dxf>
      <alignment horizontal="center"/>
    </dxf>
    <dxf>
      <alignment horizontal="center"/>
    </dxf>
    <dxf>
      <alignment horizontal="center"/>
    </dxf>
    <dxf>
      <alignment horizontal="center"/>
    </dxf>
    <dxf>
      <alignment horizontal="center"/>
    </dxf>
    <dxf>
      <font>
        <sz val="20"/>
      </font>
    </dxf>
    <dxf>
      <font>
        <sz val="20"/>
      </font>
    </dxf>
    <dxf>
      <font>
        <sz val="20"/>
      </font>
    </dxf>
    <dxf>
      <font>
        <sz val="20"/>
      </font>
    </dxf>
    <dxf>
      <font>
        <sz val="20"/>
      </font>
    </dxf>
    <dxf>
      <font>
        <name val="Angsana New"/>
        <family val="1"/>
        <charset val="222"/>
        <scheme val="none"/>
      </font>
    </dxf>
    <dxf>
      <font>
        <name val="Angsana New"/>
        <family val="1"/>
        <charset val="222"/>
        <scheme val="none"/>
      </font>
    </dxf>
    <dxf>
      <font>
        <name val="Angsana New"/>
        <family val="1"/>
        <charset val="222"/>
        <scheme val="none"/>
      </font>
    </dxf>
    <dxf>
      <font>
        <name val="Angsana New"/>
        <family val="1"/>
        <charset val="222"/>
        <scheme val="none"/>
      </font>
    </dxf>
    <dxf>
      <font>
        <name val="Angsana New"/>
        <family val="1"/>
        <charset val="222"/>
        <scheme val="none"/>
      </font>
    </dxf>
    <dxf>
      <numFmt numFmtId="164" formatCode="&quot;$&quot;#,##0.00"/>
    </dxf>
    <dxf>
      <alignment horizontal="center"/>
    </dxf>
    <dxf>
      <alignment horizontal="center"/>
    </dxf>
    <dxf>
      <alignment horizontal="center"/>
    </dxf>
    <dxf>
      <alignment horizontal="center"/>
    </dxf>
    <dxf>
      <alignment horizontal="center"/>
    </dxf>
    <dxf>
      <font>
        <sz val="20"/>
      </font>
    </dxf>
    <dxf>
      <font>
        <sz val="20"/>
      </font>
    </dxf>
    <dxf>
      <font>
        <sz val="20"/>
      </font>
    </dxf>
    <dxf>
      <font>
        <sz val="20"/>
      </font>
    </dxf>
    <dxf>
      <font>
        <sz val="20"/>
      </font>
    </dxf>
    <dxf>
      <font>
        <name val="Angsana New"/>
        <family val="1"/>
        <charset val="222"/>
        <scheme val="none"/>
      </font>
    </dxf>
    <dxf>
      <font>
        <name val="Angsana New"/>
        <family val="1"/>
        <charset val="222"/>
        <scheme val="none"/>
      </font>
    </dxf>
    <dxf>
      <font>
        <name val="Angsana New"/>
        <family val="1"/>
        <charset val="222"/>
        <scheme val="none"/>
      </font>
    </dxf>
    <dxf>
      <font>
        <name val="Angsana New"/>
        <family val="1"/>
        <charset val="222"/>
        <scheme val="none"/>
      </font>
    </dxf>
    <dxf>
      <font>
        <name val="Angsana New"/>
        <family val="1"/>
        <charset val="222"/>
        <scheme val="none"/>
      </font>
    </dxf>
    <dxf>
      <numFmt numFmtId="164" formatCode="&quot;$&quot;#,##0.00"/>
    </dxf>
    <dxf>
      <alignment horizontal="center"/>
    </dxf>
    <dxf>
      <alignment horizontal="center"/>
    </dxf>
    <dxf>
      <alignment horizontal="center"/>
    </dxf>
    <dxf>
      <alignment horizontal="center"/>
    </dxf>
    <dxf>
      <alignment horizontal="center"/>
    </dxf>
    <dxf>
      <font>
        <sz val="20"/>
      </font>
    </dxf>
    <dxf>
      <font>
        <sz val="20"/>
      </font>
    </dxf>
    <dxf>
      <font>
        <sz val="20"/>
      </font>
    </dxf>
    <dxf>
      <font>
        <sz val="20"/>
      </font>
    </dxf>
    <dxf>
      <font>
        <sz val="20"/>
      </font>
    </dxf>
    <dxf>
      <font>
        <name val="Angsana New"/>
        <family val="1"/>
        <charset val="222"/>
        <scheme val="none"/>
      </font>
    </dxf>
    <dxf>
      <font>
        <name val="Angsana New"/>
        <family val="1"/>
        <charset val="222"/>
        <scheme val="none"/>
      </font>
    </dxf>
    <dxf>
      <font>
        <name val="Angsana New"/>
        <family val="1"/>
        <charset val="222"/>
        <scheme val="none"/>
      </font>
    </dxf>
    <dxf>
      <font>
        <name val="Angsana New"/>
        <family val="1"/>
        <charset val="222"/>
        <scheme val="none"/>
      </font>
    </dxf>
    <dxf>
      <font>
        <name val="Angsana New"/>
        <family val="1"/>
        <charset val="222"/>
        <scheme val="none"/>
      </font>
    </dxf>
    <dxf>
      <numFmt numFmtId="164" formatCode="&quot;$&quot;#,##0.00"/>
    </dxf>
    <dxf>
      <alignment horizontal="center"/>
    </dxf>
    <dxf>
      <alignment horizontal="center"/>
    </dxf>
    <dxf>
      <alignment horizontal="center"/>
    </dxf>
    <dxf>
      <alignment horizontal="center"/>
    </dxf>
    <dxf>
      <alignment horizontal="center"/>
    </dxf>
    <dxf>
      <font>
        <sz val="20"/>
      </font>
    </dxf>
    <dxf>
      <font>
        <sz val="20"/>
      </font>
    </dxf>
    <dxf>
      <font>
        <sz val="20"/>
      </font>
    </dxf>
    <dxf>
      <font>
        <sz val="20"/>
      </font>
    </dxf>
    <dxf>
      <font>
        <sz val="20"/>
      </font>
    </dxf>
    <dxf>
      <font>
        <name val="Angsana New"/>
        <family val="1"/>
        <charset val="222"/>
        <scheme val="none"/>
      </font>
    </dxf>
    <dxf>
      <font>
        <name val="Angsana New"/>
        <family val="1"/>
        <charset val="222"/>
        <scheme val="none"/>
      </font>
    </dxf>
    <dxf>
      <font>
        <name val="Angsana New"/>
        <family val="1"/>
        <charset val="222"/>
        <scheme val="none"/>
      </font>
    </dxf>
    <dxf>
      <font>
        <name val="Angsana New"/>
        <family val="1"/>
        <charset val="222"/>
        <scheme val="none"/>
      </font>
    </dxf>
    <dxf>
      <font>
        <name val="Angsana New"/>
        <family val="1"/>
        <charset val="222"/>
        <scheme val="none"/>
      </font>
    </dxf>
    <dxf>
      <numFmt numFmtId="3" formatCode="#,##0"/>
    </dxf>
    <dxf>
      <numFmt numFmtId="3" formatCode="#,##0"/>
    </dxf>
    <dxf>
      <numFmt numFmtId="164" formatCode="&quot;$&quot;#,##0.00"/>
    </dxf>
    <dxf>
      <alignment horizontal="center"/>
    </dxf>
    <dxf>
      <alignment horizontal="center"/>
    </dxf>
    <dxf>
      <alignment horizontal="center"/>
    </dxf>
    <dxf>
      <alignment horizontal="center"/>
    </dxf>
    <dxf>
      <alignment horizontal="center"/>
    </dxf>
    <dxf>
      <font>
        <sz val="20"/>
      </font>
    </dxf>
    <dxf>
      <font>
        <sz val="20"/>
      </font>
    </dxf>
    <dxf>
      <font>
        <sz val="20"/>
      </font>
    </dxf>
    <dxf>
      <font>
        <sz val="20"/>
      </font>
    </dxf>
    <dxf>
      <font>
        <sz val="20"/>
      </font>
    </dxf>
    <dxf>
      <font>
        <name val="Angsana New"/>
        <family val="1"/>
        <charset val="222"/>
        <scheme val="none"/>
      </font>
    </dxf>
    <dxf>
      <font>
        <name val="Angsana New"/>
        <family val="1"/>
        <charset val="222"/>
        <scheme val="none"/>
      </font>
    </dxf>
    <dxf>
      <font>
        <name val="Angsana New"/>
        <family val="1"/>
        <charset val="222"/>
        <scheme val="none"/>
      </font>
    </dxf>
    <dxf>
      <font>
        <name val="Angsana New"/>
        <family val="1"/>
        <charset val="222"/>
        <scheme val="none"/>
      </font>
    </dxf>
    <dxf>
      <font>
        <name val="Angsana New"/>
        <family val="1"/>
        <charset val="222"/>
        <scheme val="none"/>
      </font>
    </dxf>
    <dxf>
      <numFmt numFmtId="164" formatCode="&quot;$&quot;#,##0.00"/>
    </dxf>
    <dxf>
      <alignment horizontal="center"/>
    </dxf>
    <dxf>
      <alignment horizontal="center"/>
    </dxf>
    <dxf>
      <alignment horizontal="center"/>
    </dxf>
    <dxf>
      <alignment horizontal="center"/>
    </dxf>
    <dxf>
      <alignment horizontal="center"/>
    </dxf>
    <dxf>
      <font>
        <sz val="20"/>
      </font>
    </dxf>
    <dxf>
      <font>
        <sz val="20"/>
      </font>
    </dxf>
    <dxf>
      <font>
        <sz val="20"/>
      </font>
    </dxf>
    <dxf>
      <font>
        <sz val="20"/>
      </font>
    </dxf>
    <dxf>
      <font>
        <sz val="20"/>
      </font>
    </dxf>
    <dxf>
      <font>
        <name val="Angsana New"/>
        <family val="1"/>
        <charset val="222"/>
        <scheme val="none"/>
      </font>
    </dxf>
    <dxf>
      <font>
        <name val="Angsana New"/>
        <family val="1"/>
        <charset val="222"/>
        <scheme val="none"/>
      </font>
    </dxf>
    <dxf>
      <font>
        <name val="Angsana New"/>
        <family val="1"/>
        <charset val="222"/>
        <scheme val="none"/>
      </font>
    </dxf>
    <dxf>
      <font>
        <name val="Angsana New"/>
        <family val="1"/>
        <charset val="222"/>
        <scheme val="none"/>
      </font>
    </dxf>
    <dxf>
      <font>
        <name val="Angsana New"/>
        <family val="1"/>
        <charset val="222"/>
        <scheme val="none"/>
      </font>
    </dxf>
    <dxf>
      <numFmt numFmtId="164" formatCode="&quot;$&quot;#,##0.00"/>
    </dxf>
    <dxf>
      <alignment horizontal="center"/>
    </dxf>
    <dxf>
      <alignment horizontal="center"/>
    </dxf>
    <dxf>
      <alignment horizontal="center"/>
    </dxf>
    <dxf>
      <alignment horizontal="center"/>
    </dxf>
    <dxf>
      <alignment horizontal="center"/>
    </dxf>
    <dxf>
      <alignment horizontal="center"/>
    </dxf>
    <dxf>
      <font>
        <sz val="20"/>
      </font>
    </dxf>
    <dxf>
      <font>
        <sz val="20"/>
      </font>
    </dxf>
    <dxf>
      <font>
        <sz val="20"/>
      </font>
    </dxf>
    <dxf>
      <font>
        <sz val="20"/>
      </font>
    </dxf>
    <dxf>
      <font>
        <sz val="20"/>
      </font>
    </dxf>
    <dxf>
      <font>
        <sz val="20"/>
      </font>
    </dxf>
    <dxf>
      <font>
        <name val="Angsana New"/>
        <family val="1"/>
        <charset val="222"/>
        <scheme val="none"/>
      </font>
    </dxf>
    <dxf>
      <font>
        <name val="Angsana New"/>
        <family val="1"/>
        <charset val="222"/>
        <scheme val="none"/>
      </font>
    </dxf>
    <dxf>
      <font>
        <name val="Angsana New"/>
        <family val="1"/>
        <charset val="222"/>
        <scheme val="none"/>
      </font>
    </dxf>
    <dxf>
      <font>
        <name val="Angsana New"/>
        <family val="1"/>
        <charset val="222"/>
        <scheme val="none"/>
      </font>
    </dxf>
    <dxf>
      <font>
        <name val="Angsana New"/>
        <family val="1"/>
        <charset val="222"/>
        <scheme val="none"/>
      </font>
    </dxf>
    <dxf>
      <font>
        <name val="Angsana New"/>
        <family val="1"/>
        <charset val="222"/>
        <scheme val="none"/>
      </font>
    </dxf>
    <dxf>
      <numFmt numFmtId="4" formatCode="#,##0.00"/>
    </dxf>
    <dxf>
      <numFmt numFmtId="164" formatCode="&quot;$&quot;#,##0.00"/>
    </dxf>
    <dxf>
      <numFmt numFmtId="3" formatCode="#,##0"/>
    </dxf>
    <dxf>
      <alignment horizontal="center"/>
    </dxf>
    <dxf>
      <alignment horizontal="center"/>
    </dxf>
    <dxf>
      <alignment horizontal="center"/>
    </dxf>
    <dxf>
      <alignment horizontal="center"/>
    </dxf>
    <dxf>
      <alignment horizontal="center"/>
    </dxf>
    <dxf>
      <font>
        <sz val="20"/>
      </font>
    </dxf>
    <dxf>
      <font>
        <sz val="20"/>
      </font>
    </dxf>
    <dxf>
      <font>
        <sz val="20"/>
      </font>
    </dxf>
    <dxf>
      <font>
        <sz val="20"/>
      </font>
    </dxf>
    <dxf>
      <font>
        <sz val="20"/>
      </font>
    </dxf>
    <dxf>
      <font>
        <name val="Angsana New"/>
        <family val="1"/>
        <charset val="222"/>
        <scheme val="none"/>
      </font>
    </dxf>
    <dxf>
      <font>
        <name val="Angsana New"/>
        <family val="1"/>
        <charset val="222"/>
        <scheme val="none"/>
      </font>
    </dxf>
    <dxf>
      <font>
        <name val="Angsana New"/>
        <family val="1"/>
        <charset val="222"/>
        <scheme val="none"/>
      </font>
    </dxf>
    <dxf>
      <font>
        <name val="Angsana New"/>
        <family val="1"/>
        <charset val="222"/>
        <scheme val="none"/>
      </font>
    </dxf>
    <dxf>
      <font>
        <name val="Angsana New"/>
        <family val="1"/>
        <charset val="222"/>
        <scheme val="none"/>
      </font>
    </dxf>
    <dxf>
      <numFmt numFmtId="164" formatCode="&quot;$&quot;#,##0.00"/>
    </dxf>
    <dxf>
      <alignment horizontal="center"/>
    </dxf>
    <dxf>
      <alignment horizontal="center"/>
    </dxf>
    <dxf>
      <alignment horizontal="center"/>
    </dxf>
    <dxf>
      <alignment horizontal="center"/>
    </dxf>
    <dxf>
      <alignment horizontal="center"/>
    </dxf>
    <dxf>
      <font>
        <sz val="20"/>
      </font>
    </dxf>
    <dxf>
      <font>
        <sz val="20"/>
      </font>
    </dxf>
    <dxf>
      <font>
        <sz val="20"/>
      </font>
    </dxf>
    <dxf>
      <font>
        <sz val="20"/>
      </font>
    </dxf>
    <dxf>
      <font>
        <sz val="20"/>
      </font>
    </dxf>
    <dxf>
      <font>
        <name val="Angsana New"/>
        <family val="1"/>
        <charset val="222"/>
        <scheme val="none"/>
      </font>
    </dxf>
    <dxf>
      <font>
        <name val="Angsana New"/>
        <family val="1"/>
        <charset val="222"/>
        <scheme val="none"/>
      </font>
    </dxf>
    <dxf>
      <font>
        <name val="Angsana New"/>
        <family val="1"/>
        <charset val="222"/>
        <scheme val="none"/>
      </font>
    </dxf>
    <dxf>
      <font>
        <name val="Angsana New"/>
        <family val="1"/>
        <charset val="222"/>
        <scheme val="none"/>
      </font>
    </dxf>
    <dxf>
      <font>
        <name val="Angsana New"/>
        <family val="1"/>
        <charset val="222"/>
        <scheme val="none"/>
      </font>
    </dxf>
    <dxf>
      <numFmt numFmtId="3" formatCode="#,##0"/>
    </dxf>
    <dxf>
      <alignment horizontal="center"/>
    </dxf>
    <dxf>
      <alignment horizontal="center"/>
    </dxf>
    <dxf>
      <alignment horizontal="center"/>
    </dxf>
    <dxf>
      <alignment horizontal="center"/>
    </dxf>
    <dxf>
      <alignment horizontal="center"/>
    </dxf>
    <dxf>
      <font>
        <sz val="20"/>
      </font>
    </dxf>
    <dxf>
      <font>
        <sz val="20"/>
      </font>
    </dxf>
    <dxf>
      <font>
        <sz val="20"/>
      </font>
    </dxf>
    <dxf>
      <font>
        <sz val="20"/>
      </font>
    </dxf>
    <dxf>
      <font>
        <sz val="20"/>
      </font>
    </dxf>
    <dxf>
      <font>
        <name val="Angsana New"/>
        <family val="1"/>
        <charset val="222"/>
        <scheme val="none"/>
      </font>
    </dxf>
    <dxf>
      <font>
        <name val="Angsana New"/>
        <family val="1"/>
        <charset val="222"/>
        <scheme val="none"/>
      </font>
    </dxf>
    <dxf>
      <font>
        <name val="Angsana New"/>
        <family val="1"/>
        <charset val="222"/>
        <scheme val="none"/>
      </font>
    </dxf>
    <dxf>
      <font>
        <name val="Angsana New"/>
        <family val="1"/>
        <charset val="222"/>
        <scheme val="none"/>
      </font>
    </dxf>
    <dxf>
      <font>
        <name val="Angsana New"/>
        <family val="1"/>
        <charset val="222"/>
        <scheme val="none"/>
      </font>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[Supply_Chain_Orders_Dashboard.xlsx]Pivot_Analysis!PivotTable8</c:name>
    <c:fmtId val="2"/>
  </c:pivotSource>
  <c:chart>
    <c:title>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22225" cap="rnd" cmpd="sng" algn="ctr">
            <a:solidFill>
              <a:schemeClr val="accent1"/>
            </a:solidFill>
            <a:miter lim="800000"/>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
        <c:dLbl>
          <c:idx val="0"/>
          <c:layout>
            <c:manualLayout>
              <c:x val="-4.6429060141448007E-2"/>
              <c:y val="5.678642714570858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
        <c:dLbl>
          <c:idx val="0"/>
          <c:layout>
            <c:manualLayout>
              <c:x val="-4.6429060141448007E-2"/>
              <c:y val="-5.964737192282102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
        <c:dLbl>
          <c:idx val="0"/>
          <c:layout>
            <c:manualLayout>
              <c:x val="-4.6429060141448091E-2"/>
              <c:y val="-5.299401197604790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
        <c:dLbl>
          <c:idx val="0"/>
          <c:layout>
            <c:manualLayout>
              <c:x val="-4.1944252427578745E-2"/>
              <c:y val="6.343978709248164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
        <c:dLbl>
          <c:idx val="0"/>
          <c:layout>
            <c:manualLayout>
              <c:x val="-4.6429060141448007E-2"/>
              <c:y val="-6.297405189620761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
        <c:dLbl>
          <c:idx val="0"/>
          <c:layout>
            <c:manualLayout>
              <c:x val="-3.2450055751103768E-2"/>
              <c:y val="7.341982701264138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7"/>
        <c:dLbl>
          <c:idx val="0"/>
          <c:layout>
            <c:manualLayout>
              <c:x val="-4.6429060141448049E-2"/>
              <c:y val="-5.632069194943449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8"/>
        <c:dLbl>
          <c:idx val="0"/>
          <c:layout>
            <c:manualLayout>
              <c:x val="-4.1944252427578765E-2"/>
              <c:y val="7.34198270126414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9"/>
        <c:dLbl>
          <c:idx val="0"/>
          <c:layout>
            <c:manualLayout>
              <c:x val="-4.6429060141448007E-2"/>
              <c:y val="-6.297405189620763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0"/>
        <c:dLbl>
          <c:idx val="0"/>
          <c:layout>
            <c:manualLayout>
              <c:x val="-5.9883483283055858E-2"/>
              <c:y val="7.341982701264132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1"/>
        <c:dLbl>
          <c:idx val="0"/>
          <c:layout>
            <c:manualLayout>
              <c:x val="1.1873440138852472E-2"/>
              <c:y val="5.013306719893539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2"/>
        <c:dLbl>
          <c:idx val="0"/>
          <c:layout>
            <c:manualLayout>
              <c:x val="-3.0715085847913885E-2"/>
              <c:y val="-6.753791545659890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3"/>
        <c:dLbl>
          <c:idx val="0"/>
          <c:layout>
            <c:manualLayout>
              <c:x val="-3.0715085847913871E-2"/>
              <c:y val="6.476282671829622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4"/>
        <c:dLbl>
          <c:idx val="0"/>
          <c:layout>
            <c:manualLayout>
              <c:x val="-3.0715085847913871E-2"/>
              <c:y val="-6.431106808647954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5"/>
        <c:dLbl>
          <c:idx val="0"/>
          <c:layout>
            <c:manualLayout>
              <c:x val="-4.8516598976529803E-2"/>
              <c:y val="8.089706356889318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6"/>
        <c:dLbl>
          <c:idx val="0"/>
          <c:layout>
            <c:manualLayout>
              <c:x val="-6.979735009759294E-3"/>
              <c:y val="6.476282671829622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7"/>
        <c:dLbl>
          <c:idx val="0"/>
          <c:layout>
            <c:manualLayout>
              <c:x val="-3.0715085847913871E-2"/>
              <c:y val="-6.431106808647950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8"/>
        <c:dLbl>
          <c:idx val="0"/>
          <c:layout>
            <c:manualLayout>
              <c:x val="-3.0715085847913978E-2"/>
              <c:y val="8.089706356889318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9"/>
        <c:dLbl>
          <c:idx val="0"/>
          <c:layout>
            <c:manualLayout>
              <c:x val="-3.0715085847913978E-2"/>
              <c:y val="-6.753791545659890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0"/>
        <c:dLbl>
          <c:idx val="0"/>
          <c:layout>
            <c:manualLayout>
              <c:x val="-2.9231626420529209E-2"/>
              <c:y val="6.798967408841562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1"/>
        <c:dLbl>
          <c:idx val="0"/>
          <c:layout>
            <c:manualLayout>
              <c:x val="-3.6648923557452626E-2"/>
              <c:y val="-6.431106808647950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2"/>
        <c:dLbl>
          <c:idx val="0"/>
          <c:layout>
            <c:manualLayout>
              <c:x val="-2.4781248138375334E-2"/>
              <c:y val="-7.076476282671832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3"/>
        <c:dLbl>
          <c:idx val="0"/>
          <c:layout>
            <c:manualLayout>
              <c:x val="-5.0000058403914464E-2"/>
              <c:y val="7.121652145853500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4"/>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Pivot_Analysis!$AD$3</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Pivot_Analysis!$AC$4:$AC$16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Pivot_Analysis!$AD$4:$AD$16</c:f>
              <c:numCache>
                <c:formatCode>"$"#,##0.00</c:formatCode>
                <c:ptCount val="12"/>
                <c:pt idx="0">
                  <c:v>41929.58</c:v>
                </c:pt>
                <c:pt idx="1">
                  <c:v>51792.209999999992</c:v>
                </c:pt>
                <c:pt idx="2">
                  <c:v>34611.56</c:v>
                </c:pt>
                <c:pt idx="3">
                  <c:v>44994.149999999994</c:v>
                </c:pt>
                <c:pt idx="4">
                  <c:v>45878.020000000004</c:v>
                </c:pt>
                <c:pt idx="5">
                  <c:v>18790.09</c:v>
                </c:pt>
                <c:pt idx="6">
                  <c:v>58481.259999999995</c:v>
                </c:pt>
                <c:pt idx="7">
                  <c:v>40455.1</c:v>
                </c:pt>
                <c:pt idx="8">
                  <c:v>51482.559999999998</c:v>
                </c:pt>
                <c:pt idx="9">
                  <c:v>4613.5</c:v>
                </c:pt>
                <c:pt idx="10">
                  <c:v>62235.53</c:v>
                </c:pt>
                <c:pt idx="11">
                  <c:v>9945.4199999999983</c:v>
                </c:pt>
              </c:numCache>
            </c:numRef>
          </c:val>
          <c:smooth val="0"/>
          <c:extLst>
            <c:ext xmlns:c16="http://schemas.microsoft.com/office/drawing/2014/chart" uri="{C3380CC4-5D6E-409C-BE32-E72D297353CC}">
              <c16:uniqueId val="{0000000E-D301-49EE-AA77-E6B0EE14FCB7}"/>
            </c:ext>
          </c:extLst>
        </c:ser>
        <c:dLbls>
          <c:dLblPos val="t"/>
          <c:showLegendKey val="0"/>
          <c:showVal val="1"/>
          <c:showCatName val="0"/>
          <c:showSerName val="0"/>
          <c:showPercent val="0"/>
          <c:showBubbleSize val="0"/>
        </c:dLbls>
        <c:marker val="1"/>
        <c:smooth val="0"/>
        <c:axId val="1363099120"/>
        <c:axId val="1363087120"/>
      </c:lineChart>
      <c:catAx>
        <c:axId val="136309912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chemeClr val="lt1">
                    <a:lumMod val="75000"/>
                  </a:schemeClr>
                </a:solidFill>
                <a:latin typeface="Angsana New" panose="02020603050405020304" pitchFamily="18" charset="-34"/>
                <a:ea typeface="+mn-ea"/>
                <a:cs typeface="Angsana New" panose="02020603050405020304" pitchFamily="18" charset="-34"/>
              </a:defRPr>
            </a:pPr>
            <a:endParaRPr lang="en-US"/>
          </a:p>
        </c:txPr>
        <c:crossAx val="1363087120"/>
        <c:crosses val="autoZero"/>
        <c:auto val="1"/>
        <c:lblAlgn val="ctr"/>
        <c:lblOffset val="100"/>
        <c:noMultiLvlLbl val="0"/>
      </c:catAx>
      <c:valAx>
        <c:axId val="1363087120"/>
        <c:scaling>
          <c:orientation val="minMax"/>
        </c:scaling>
        <c:delete val="0"/>
        <c:axPos val="l"/>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lt1">
                    <a:lumMod val="75000"/>
                  </a:schemeClr>
                </a:solidFill>
                <a:latin typeface="Angsana New" panose="02020603050405020304" pitchFamily="18" charset="-34"/>
                <a:ea typeface="+mn-ea"/>
                <a:cs typeface="Angsana New" panose="02020603050405020304" pitchFamily="18" charset="-34"/>
              </a:defRPr>
            </a:pPr>
            <a:endParaRPr lang="en-US"/>
          </a:p>
        </c:txPr>
        <c:crossAx val="13630991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[Supply_Chain_Orders_Dashboard.xlsx]Pivot_Analysis!PivotTable9</c:name>
    <c:fmtId val="6"/>
  </c:pivotSource>
  <c:chart>
    <c:autoTitleDeleted val="1"/>
    <c:pivotFmts>
      <c:pivotFmt>
        <c:idx val="0"/>
        <c:spPr>
          <a:solidFill>
            <a:schemeClr val="tx2">
              <a:lumMod val="50000"/>
            </a:schemeClr>
          </a:solid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Pivot_Analysis!$AM$3</c:f>
              <c:strCache>
                <c:ptCount val="1"/>
                <c:pt idx="0">
                  <c:v>Total</c:v>
                </c:pt>
              </c:strCache>
            </c:strRef>
          </c:tx>
          <c:spPr>
            <a:solidFill>
              <a:schemeClr val="tx2">
                <a:lumMod val="50000"/>
              </a:schemeClr>
            </a:solidFill>
            <a:ln w="9525" cap="flat" cmpd="sng" algn="ctr">
              <a:solidFill>
                <a:schemeClr val="accent1"/>
              </a:solidFill>
              <a:miter lim="800000"/>
            </a:ln>
            <a:effectLst>
              <a:glow rad="63500">
                <a:schemeClr val="accent1">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Pivot_Analysis!$AL$4:$AL$12</c:f>
              <c:strCache>
                <c:ptCount val="8"/>
                <c:pt idx="0">
                  <c:v>Alexandria</c:v>
                </c:pt>
                <c:pt idx="1">
                  <c:v>Aswan</c:v>
                </c:pt>
                <c:pt idx="2">
                  <c:v>Cairo</c:v>
                </c:pt>
                <c:pt idx="3">
                  <c:v>Giza</c:v>
                </c:pt>
                <c:pt idx="4">
                  <c:v>Luxor</c:v>
                </c:pt>
                <c:pt idx="5">
                  <c:v>Mansoura</c:v>
                </c:pt>
                <c:pt idx="6">
                  <c:v>Port Said</c:v>
                </c:pt>
                <c:pt idx="7">
                  <c:v>Tanta</c:v>
                </c:pt>
              </c:strCache>
            </c:strRef>
          </c:cat>
          <c:val>
            <c:numRef>
              <c:f>Pivot_Analysis!$AM$4:$AM$12</c:f>
              <c:numCache>
                <c:formatCode>"$"#,##0.00</c:formatCode>
                <c:ptCount val="8"/>
                <c:pt idx="0">
                  <c:v>70051.91</c:v>
                </c:pt>
                <c:pt idx="1">
                  <c:v>93921.63</c:v>
                </c:pt>
                <c:pt idx="2">
                  <c:v>24693.39</c:v>
                </c:pt>
                <c:pt idx="3">
                  <c:v>50291.1</c:v>
                </c:pt>
                <c:pt idx="4">
                  <c:v>25014.11</c:v>
                </c:pt>
                <c:pt idx="5">
                  <c:v>76583.179999999993</c:v>
                </c:pt>
                <c:pt idx="6">
                  <c:v>78202.019999999975</c:v>
                </c:pt>
                <c:pt idx="7">
                  <c:v>46451.640000000007</c:v>
                </c:pt>
              </c:numCache>
            </c:numRef>
          </c:val>
          <c:extLst>
            <c:ext xmlns:c16="http://schemas.microsoft.com/office/drawing/2014/chart" uri="{C3380CC4-5D6E-409C-BE32-E72D297353CC}">
              <c16:uniqueId val="{00000000-5175-4B85-99FB-0A777126CA9C}"/>
            </c:ext>
          </c:extLst>
        </c:ser>
        <c:dLbls>
          <c:dLblPos val="outEnd"/>
          <c:showLegendKey val="0"/>
          <c:showVal val="1"/>
          <c:showCatName val="0"/>
          <c:showSerName val="0"/>
          <c:showPercent val="0"/>
          <c:showBubbleSize val="0"/>
        </c:dLbls>
        <c:gapWidth val="315"/>
        <c:overlap val="-40"/>
        <c:axId val="145071791"/>
        <c:axId val="145069391"/>
      </c:barChart>
      <c:catAx>
        <c:axId val="14507179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45069391"/>
        <c:crosses val="autoZero"/>
        <c:auto val="1"/>
        <c:lblAlgn val="ctr"/>
        <c:lblOffset val="100"/>
        <c:noMultiLvlLbl val="0"/>
      </c:catAx>
      <c:valAx>
        <c:axId val="145069391"/>
        <c:scaling>
          <c:orientation val="minMax"/>
        </c:scaling>
        <c:delete val="0"/>
        <c:axPos val="l"/>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450717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[Supply_Chain_Orders_Dashboard.xlsx]Pivot_Analysis!PivotTable10</c:name>
    <c:fmtId val="11"/>
  </c:pivotSource>
  <c:chart>
    <c:autoTitleDeleted val="1"/>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lt1">
                      <a:lumMod val="85000"/>
                    </a:schemeClr>
                  </a:solidFill>
                  <a:latin typeface="Angsana New" panose="02020603050405020304" pitchFamily="18" charset="-34"/>
                  <a:ea typeface="+mn-ea"/>
                  <a:cs typeface="Angsana New" panose="02020603050405020304" pitchFamily="18" charset="-34"/>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B050"/>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doughnutChart>
        <c:varyColors val="1"/>
        <c:ser>
          <c:idx val="0"/>
          <c:order val="0"/>
          <c:tx>
            <c:strRef>
              <c:f>Pivot_Analysis!$BB$3</c:f>
              <c:strCache>
                <c:ptCount val="1"/>
                <c:pt idx="0">
                  <c:v>Total</c:v>
                </c:pt>
              </c:strCache>
            </c:strRef>
          </c:tx>
          <c:explosion val="4"/>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C481-451A-9723-150C881BB66A}"/>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C481-451A-9723-150C881BB66A}"/>
              </c:ext>
            </c:extLst>
          </c:dPt>
          <c:dPt>
            <c:idx val="2"/>
            <c:bubble3D val="0"/>
            <c:spPr>
              <a:solidFill>
                <a:srgbClr val="00B050"/>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2-BC28-49C5-ADB3-814DD63BA3FC}"/>
              </c:ext>
            </c:extLst>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C481-451A-9723-150C881BB66A}"/>
              </c:ext>
            </c:extLst>
          </c:dPt>
          <c:dLbls>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lt1">
                        <a:lumMod val="85000"/>
                      </a:schemeClr>
                    </a:solidFill>
                    <a:latin typeface="Angsana New" panose="02020603050405020304" pitchFamily="18" charset="-34"/>
                    <a:ea typeface="+mn-ea"/>
                    <a:cs typeface="Angsana New" panose="02020603050405020304" pitchFamily="18" charset="-34"/>
                  </a:defRPr>
                </a:pPr>
                <a:endParaRPr lang="en-US"/>
              </a:p>
            </c:txPr>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Pivot_Analysis!$BA$4:$BA$8</c:f>
              <c:strCache>
                <c:ptCount val="4"/>
                <c:pt idx="0">
                  <c:v>Electronics</c:v>
                </c:pt>
                <c:pt idx="1">
                  <c:v>Networking</c:v>
                </c:pt>
                <c:pt idx="2">
                  <c:v>Office</c:v>
                </c:pt>
                <c:pt idx="3">
                  <c:v>Storage</c:v>
                </c:pt>
              </c:strCache>
            </c:strRef>
          </c:cat>
          <c:val>
            <c:numRef>
              <c:f>Pivot_Analysis!$BB$4:$BB$8</c:f>
              <c:numCache>
                <c:formatCode>"$"#,##0.00</c:formatCode>
                <c:ptCount val="4"/>
                <c:pt idx="0">
                  <c:v>137745.85</c:v>
                </c:pt>
                <c:pt idx="1">
                  <c:v>73292.75999999998</c:v>
                </c:pt>
                <c:pt idx="2">
                  <c:v>165860.60999999999</c:v>
                </c:pt>
                <c:pt idx="3">
                  <c:v>88309.760000000009</c:v>
                </c:pt>
              </c:numCache>
            </c:numRef>
          </c:val>
          <c:extLst>
            <c:ext xmlns:c16="http://schemas.microsoft.com/office/drawing/2014/chart" uri="{C3380CC4-5D6E-409C-BE32-E72D297353CC}">
              <c16:uniqueId val="{00000000-BC28-49C5-ADB3-814DD63BA3FC}"/>
            </c:ext>
          </c:extLst>
        </c:ser>
        <c:dLbls>
          <c:showLegendKey val="0"/>
          <c:showVal val="0"/>
          <c:showCatName val="0"/>
          <c:showSerName val="0"/>
          <c:showPercent val="0"/>
          <c:showBubbleSize val="0"/>
          <c:showLeaderLines val="1"/>
        </c:dLbls>
        <c:firstSliceAng val="0"/>
        <c:holeSize val="5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2000" b="0" i="0" u="none" strike="noStrike" kern="1200" baseline="0">
              <a:solidFill>
                <a:schemeClr val="lt1">
                  <a:lumMod val="85000"/>
                </a:schemeClr>
              </a:solidFill>
              <a:latin typeface="Angsana New" panose="02020603050405020304" pitchFamily="18" charset="-34"/>
              <a:ea typeface="+mn-ea"/>
              <a:cs typeface="Angsana New" panose="02020603050405020304" pitchFamily="18" charset="-34"/>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sz="2000">
          <a:latin typeface="Angsana New" panose="02020603050405020304" pitchFamily="18" charset="-34"/>
          <a:cs typeface="Angsana New" panose="02020603050405020304" pitchFamily="18" charset="-34"/>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[Supply_Chain_Orders_Dashboard.xlsx]Pivot_Analysis!PivotTable11</c:name>
    <c:fmtId val="25"/>
  </c:pivotSource>
  <c:chart>
    <c:autoTitleDeleted val="1"/>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diamond"/>
          <c:size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lt1">
                      <a:lumMod val="85000"/>
                    </a:schemeClr>
                  </a:solidFill>
                  <a:latin typeface="Angsana New" panose="02020603050405020304" pitchFamily="18" charset="-34"/>
                  <a:ea typeface="+mn-ea"/>
                  <a:cs typeface="Angsana New" panose="02020603050405020304" pitchFamily="18" charset="-34"/>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lt1">
                      <a:lumMod val="85000"/>
                    </a:schemeClr>
                  </a:solidFill>
                  <a:latin typeface="Angsana New" panose="02020603050405020304" pitchFamily="18" charset="-34"/>
                  <a:ea typeface="+mn-ea"/>
                  <a:cs typeface="Angsana New" panose="02020603050405020304" pitchFamily="18" charset="-34"/>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lt1">
                      <a:lumMod val="85000"/>
                    </a:schemeClr>
                  </a:solidFill>
                  <a:latin typeface="Angsana New" panose="02020603050405020304" pitchFamily="18" charset="-34"/>
                  <a:ea typeface="+mn-ea"/>
                  <a:cs typeface="Angsana New" panose="02020603050405020304" pitchFamily="18" charset="-34"/>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Pivot_Analysis!$B$23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lt1">
                        <a:lumMod val="85000"/>
                      </a:schemeClr>
                    </a:solidFill>
                    <a:latin typeface="Angsana New" panose="02020603050405020304" pitchFamily="18" charset="-34"/>
                    <a:ea typeface="+mn-ea"/>
                    <a:cs typeface="Angsana New" panose="02020603050405020304" pitchFamily="18" charset="-34"/>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Pivot_Analysis!$A$24:$A$34</c:f>
              <c:strCache>
                <c:ptCount val="10"/>
                <c:pt idx="0">
                  <c:v>Desk Lamp</c:v>
                </c:pt>
                <c:pt idx="1">
                  <c:v>HDMI Cable</c:v>
                </c:pt>
                <c:pt idx="2">
                  <c:v>Laptop Stand</c:v>
                </c:pt>
                <c:pt idx="3">
                  <c:v>Mechanical Keyboard</c:v>
                </c:pt>
                <c:pt idx="4">
                  <c:v>Monitor Arm</c:v>
                </c:pt>
                <c:pt idx="5">
                  <c:v>Office Chair</c:v>
                </c:pt>
                <c:pt idx="6">
                  <c:v>Power Bank</c:v>
                </c:pt>
                <c:pt idx="7">
                  <c:v>USB Hub</c:v>
                </c:pt>
                <c:pt idx="8">
                  <c:v>Webcam HD</c:v>
                </c:pt>
                <c:pt idx="9">
                  <c:v>Wireless Mouse</c:v>
                </c:pt>
              </c:strCache>
            </c:strRef>
          </c:cat>
          <c:val>
            <c:numRef>
              <c:f>Pivot_Analysis!$B$24:$B$34</c:f>
              <c:numCache>
                <c:formatCode>"$"#,##0.00</c:formatCode>
                <c:ptCount val="10"/>
                <c:pt idx="0">
                  <c:v>22940.54</c:v>
                </c:pt>
                <c:pt idx="1">
                  <c:v>36636.47</c:v>
                </c:pt>
                <c:pt idx="2">
                  <c:v>33972.69</c:v>
                </c:pt>
                <c:pt idx="3">
                  <c:v>59442.68</c:v>
                </c:pt>
                <c:pt idx="4">
                  <c:v>37901.560000000005</c:v>
                </c:pt>
                <c:pt idx="5">
                  <c:v>69670.8</c:v>
                </c:pt>
                <c:pt idx="6">
                  <c:v>34376.289999999994</c:v>
                </c:pt>
                <c:pt idx="7">
                  <c:v>58367.409999999989</c:v>
                </c:pt>
                <c:pt idx="8">
                  <c:v>41460.35</c:v>
                </c:pt>
                <c:pt idx="9">
                  <c:v>39755.689999999995</c:v>
                </c:pt>
              </c:numCache>
            </c:numRef>
          </c:val>
          <c:extLst>
            <c:ext xmlns:c16="http://schemas.microsoft.com/office/drawing/2014/chart" uri="{C3380CC4-5D6E-409C-BE32-E72D297353CC}">
              <c16:uniqueId val="{00000000-7BA1-436A-AF39-08F637AA561F}"/>
            </c:ext>
          </c:extLst>
        </c:ser>
        <c:dLbls>
          <c:dLblPos val="outEnd"/>
          <c:showLegendKey val="0"/>
          <c:showVal val="1"/>
          <c:showCatName val="0"/>
          <c:showSerName val="0"/>
          <c:showPercent val="0"/>
          <c:showBubbleSize val="0"/>
        </c:dLbls>
        <c:gapWidth val="115"/>
        <c:overlap val="-20"/>
        <c:axId val="150373391"/>
        <c:axId val="150373871"/>
      </c:barChart>
      <c:catAx>
        <c:axId val="150373391"/>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1600" b="0" i="0" u="none" strike="noStrike" kern="1200" baseline="0">
                <a:solidFill>
                  <a:schemeClr val="lt1">
                    <a:lumMod val="85000"/>
                  </a:schemeClr>
                </a:solidFill>
                <a:latin typeface="Angsana New" panose="02020603050405020304" pitchFamily="18" charset="-34"/>
                <a:ea typeface="+mn-ea"/>
                <a:cs typeface="Angsana New" panose="02020603050405020304" pitchFamily="18" charset="-34"/>
              </a:defRPr>
            </a:pPr>
            <a:endParaRPr lang="en-US"/>
          </a:p>
        </c:txPr>
        <c:crossAx val="150373871"/>
        <c:crosses val="autoZero"/>
        <c:auto val="1"/>
        <c:lblAlgn val="ctr"/>
        <c:lblOffset val="100"/>
        <c:noMultiLvlLbl val="0"/>
      </c:catAx>
      <c:valAx>
        <c:axId val="150373871"/>
        <c:scaling>
          <c:orientation val="minMax"/>
        </c:scaling>
        <c:delete val="0"/>
        <c:axPos val="b"/>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1600" b="0" i="0" u="none" strike="noStrike" kern="1200" baseline="0">
                <a:solidFill>
                  <a:schemeClr val="lt1">
                    <a:lumMod val="85000"/>
                  </a:schemeClr>
                </a:solidFill>
                <a:latin typeface="Angsana New" panose="02020603050405020304" pitchFamily="18" charset="-34"/>
                <a:ea typeface="+mn-ea"/>
                <a:cs typeface="Angsana New" panose="02020603050405020304" pitchFamily="18" charset="-34"/>
              </a:defRPr>
            </a:pPr>
            <a:endParaRPr lang="en-US"/>
          </a:p>
        </c:txPr>
        <c:crossAx val="1503733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sz="1600">
          <a:latin typeface="Angsana New" panose="02020603050405020304" pitchFamily="18" charset="-34"/>
          <a:cs typeface="Angsana New" panose="02020603050405020304" pitchFamily="18" charset="-34"/>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[Supply_Chain_Orders_Dashboard.xlsx]Pivot_Analysis!PivotTable9</c:name>
    <c:fmtId val="12"/>
  </c:pivotSource>
  <c:chart>
    <c:title>
      <c:tx>
        <c:rich>
          <a:bodyPr rot="0" spcFirstLastPara="1" vertOverflow="ellipsis" vert="horz" wrap="square" anchor="ctr" anchorCtr="1"/>
          <a:lstStyle/>
          <a:p>
            <a:pPr>
              <a:defRPr sz="1920" b="1" i="0" u="none" strike="noStrike" kern="1200" cap="none" baseline="0">
                <a:solidFill>
                  <a:schemeClr val="lt1">
                    <a:lumMod val="85000"/>
                  </a:schemeClr>
                </a:solidFill>
                <a:latin typeface="Angsana New" panose="02020603050405020304" pitchFamily="18" charset="-34"/>
                <a:ea typeface="+mn-ea"/>
                <a:cs typeface="Angsana New" panose="02020603050405020304" pitchFamily="18" charset="-34"/>
              </a:defRPr>
            </a:pPr>
            <a:r>
              <a:rPr lang="en-US"/>
              <a:t>Total Sales by Region</a:t>
            </a:r>
          </a:p>
        </c:rich>
      </c:tx>
      <c:overlay val="0"/>
      <c:spPr>
        <a:noFill/>
        <a:ln>
          <a:noFill/>
        </a:ln>
        <a:effectLst/>
      </c:spPr>
      <c:txPr>
        <a:bodyPr rot="0" spcFirstLastPara="1" vertOverflow="ellipsis" vert="horz" wrap="square" anchor="ctr" anchorCtr="1"/>
        <a:lstStyle/>
        <a:p>
          <a:pPr>
            <a:defRPr sz="1920" b="1" i="0" u="none" strike="noStrike" kern="1200" cap="none" baseline="0">
              <a:solidFill>
                <a:schemeClr val="lt1">
                  <a:lumMod val="85000"/>
                </a:schemeClr>
              </a:solidFill>
              <a:latin typeface="Angsana New" panose="02020603050405020304" pitchFamily="18" charset="-34"/>
              <a:ea typeface="+mn-ea"/>
              <a:cs typeface="Angsana New" panose="02020603050405020304" pitchFamily="18" charset="-34"/>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tx2">
              <a:lumMod val="50000"/>
            </a:schemeClr>
          </a:solid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lt1">
                      <a:lumMod val="75000"/>
                    </a:schemeClr>
                  </a:solidFill>
                  <a:latin typeface="Angsana New" panose="02020603050405020304" pitchFamily="18" charset="-34"/>
                  <a:ea typeface="+mn-ea"/>
                  <a:cs typeface="Angsana New" panose="02020603050405020304" pitchFamily="18" charset="-34"/>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Pivot_Analysis!$AM$3</c:f>
              <c:strCache>
                <c:ptCount val="1"/>
                <c:pt idx="0">
                  <c:v>Total</c:v>
                </c:pt>
              </c:strCache>
            </c:strRef>
          </c:tx>
          <c:spPr>
            <a:solidFill>
              <a:schemeClr val="tx2">
                <a:lumMod val="50000"/>
              </a:schemeClr>
            </a:solidFill>
            <a:ln w="9525" cap="flat" cmpd="sng" algn="ctr">
              <a:solidFill>
                <a:schemeClr val="accent1"/>
              </a:solidFill>
              <a:miter lim="800000"/>
            </a:ln>
            <a:effectLst>
              <a:glow rad="63500">
                <a:schemeClr val="accent1">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lt1">
                        <a:lumMod val="75000"/>
                      </a:schemeClr>
                    </a:solidFill>
                    <a:latin typeface="Angsana New" panose="02020603050405020304" pitchFamily="18" charset="-34"/>
                    <a:ea typeface="+mn-ea"/>
                    <a:cs typeface="Angsana New" panose="02020603050405020304" pitchFamily="18" charset="-34"/>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Pivot_Analysis!$AL$4:$AL$12</c:f>
              <c:strCache>
                <c:ptCount val="8"/>
                <c:pt idx="0">
                  <c:v>Alexandria</c:v>
                </c:pt>
                <c:pt idx="1">
                  <c:v>Aswan</c:v>
                </c:pt>
                <c:pt idx="2">
                  <c:v>Cairo</c:v>
                </c:pt>
                <c:pt idx="3">
                  <c:v>Giza</c:v>
                </c:pt>
                <c:pt idx="4">
                  <c:v>Luxor</c:v>
                </c:pt>
                <c:pt idx="5">
                  <c:v>Mansoura</c:v>
                </c:pt>
                <c:pt idx="6">
                  <c:v>Port Said</c:v>
                </c:pt>
                <c:pt idx="7">
                  <c:v>Tanta</c:v>
                </c:pt>
              </c:strCache>
            </c:strRef>
          </c:cat>
          <c:val>
            <c:numRef>
              <c:f>Pivot_Analysis!$AM$4:$AM$12</c:f>
              <c:numCache>
                <c:formatCode>"$"#,##0.00</c:formatCode>
                <c:ptCount val="8"/>
                <c:pt idx="0">
                  <c:v>70051.91</c:v>
                </c:pt>
                <c:pt idx="1">
                  <c:v>93921.63</c:v>
                </c:pt>
                <c:pt idx="2">
                  <c:v>24693.39</c:v>
                </c:pt>
                <c:pt idx="3">
                  <c:v>50291.1</c:v>
                </c:pt>
                <c:pt idx="4">
                  <c:v>25014.11</c:v>
                </c:pt>
                <c:pt idx="5">
                  <c:v>76583.179999999993</c:v>
                </c:pt>
                <c:pt idx="6">
                  <c:v>78202.019999999975</c:v>
                </c:pt>
                <c:pt idx="7">
                  <c:v>46451.640000000007</c:v>
                </c:pt>
              </c:numCache>
            </c:numRef>
          </c:val>
          <c:extLst>
            <c:ext xmlns:c16="http://schemas.microsoft.com/office/drawing/2014/chart" uri="{C3380CC4-5D6E-409C-BE32-E72D297353CC}">
              <c16:uniqueId val="{00000000-7D11-49EF-AE07-770491F81F2F}"/>
            </c:ext>
          </c:extLst>
        </c:ser>
        <c:dLbls>
          <c:dLblPos val="outEnd"/>
          <c:showLegendKey val="0"/>
          <c:showVal val="1"/>
          <c:showCatName val="0"/>
          <c:showSerName val="0"/>
          <c:showPercent val="0"/>
          <c:showBubbleSize val="0"/>
        </c:dLbls>
        <c:gapWidth val="315"/>
        <c:overlap val="-40"/>
        <c:axId val="145071791"/>
        <c:axId val="145069391"/>
      </c:barChart>
      <c:catAx>
        <c:axId val="14507179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600" b="0" i="0" u="none" strike="noStrike" kern="1200" baseline="0">
                <a:solidFill>
                  <a:schemeClr val="lt1">
                    <a:lumMod val="75000"/>
                  </a:schemeClr>
                </a:solidFill>
                <a:latin typeface="Angsana New" panose="02020603050405020304" pitchFamily="18" charset="-34"/>
                <a:ea typeface="+mn-ea"/>
                <a:cs typeface="Angsana New" panose="02020603050405020304" pitchFamily="18" charset="-34"/>
              </a:defRPr>
            </a:pPr>
            <a:endParaRPr lang="en-US"/>
          </a:p>
        </c:txPr>
        <c:crossAx val="145069391"/>
        <c:crosses val="autoZero"/>
        <c:auto val="1"/>
        <c:lblAlgn val="ctr"/>
        <c:lblOffset val="100"/>
        <c:noMultiLvlLbl val="0"/>
      </c:catAx>
      <c:valAx>
        <c:axId val="145069391"/>
        <c:scaling>
          <c:orientation val="minMax"/>
        </c:scaling>
        <c:delete val="0"/>
        <c:axPos val="l"/>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1600" b="0" i="0" u="none" strike="noStrike" kern="1200" baseline="0">
                <a:solidFill>
                  <a:schemeClr val="lt1">
                    <a:lumMod val="75000"/>
                  </a:schemeClr>
                </a:solidFill>
                <a:latin typeface="Angsana New" panose="02020603050405020304" pitchFamily="18" charset="-34"/>
                <a:ea typeface="+mn-ea"/>
                <a:cs typeface="Angsana New" panose="02020603050405020304" pitchFamily="18" charset="-34"/>
              </a:defRPr>
            </a:pPr>
            <a:endParaRPr lang="en-US"/>
          </a:p>
        </c:txPr>
        <c:crossAx val="1450717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noFill/>
      <a:round/>
    </a:ln>
    <a:effectLst/>
  </c:spPr>
  <c:txPr>
    <a:bodyPr/>
    <a:lstStyle/>
    <a:p>
      <a:pPr>
        <a:defRPr sz="1600">
          <a:latin typeface="Angsana New" panose="02020603050405020304" pitchFamily="18" charset="-34"/>
          <a:cs typeface="Angsana New" panose="02020603050405020304" pitchFamily="18" charset="-34"/>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[Supply_Chain_Orders_Dashboard.xlsx]Pivot_Analysis!PivotTable10</c:name>
    <c:fmtId val="17"/>
  </c:pivotSource>
  <c:chart>
    <c:title>
      <c:tx>
        <c:rich>
          <a:bodyPr rot="0" spcFirstLastPara="1" vertOverflow="ellipsis" vert="horz" wrap="square" anchor="ctr" anchorCtr="1"/>
          <a:lstStyle/>
          <a:p>
            <a:pPr>
              <a:defRPr sz="24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Angsana New" panose="02020603050405020304" pitchFamily="18" charset="-34"/>
                <a:ea typeface="+mn-ea"/>
                <a:cs typeface="Angsana New" panose="02020603050405020304" pitchFamily="18" charset="-34"/>
              </a:defRPr>
            </a:pPr>
            <a:r>
              <a:rPr lang="en-US"/>
              <a:t>Total Sales by Category</a:t>
            </a:r>
          </a:p>
        </c:rich>
      </c:tx>
      <c:overlay val="0"/>
      <c:spPr>
        <a:noFill/>
        <a:ln>
          <a:noFill/>
        </a:ln>
        <a:effectLst/>
      </c:spPr>
      <c:txPr>
        <a:bodyPr rot="0" spcFirstLastPara="1" vertOverflow="ellipsis" vert="horz" wrap="square" anchor="ctr" anchorCtr="1"/>
        <a:lstStyle/>
        <a:p>
          <a:pPr>
            <a:defRPr sz="24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Angsana New" panose="02020603050405020304" pitchFamily="18" charset="-34"/>
              <a:ea typeface="+mn-ea"/>
              <a:cs typeface="Angsana New" panose="02020603050405020304" pitchFamily="18" charset="-34"/>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lt1">
                      <a:lumMod val="85000"/>
                    </a:schemeClr>
                  </a:solidFill>
                  <a:latin typeface="Angsana New" panose="02020603050405020304" pitchFamily="18" charset="-34"/>
                  <a:ea typeface="+mn-ea"/>
                  <a:cs typeface="Angsana New" panose="02020603050405020304" pitchFamily="18" charset="-34"/>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B050"/>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lt1">
                      <a:lumMod val="85000"/>
                    </a:schemeClr>
                  </a:solidFill>
                  <a:latin typeface="Angsana New" panose="02020603050405020304" pitchFamily="18" charset="-34"/>
                  <a:ea typeface="+mn-ea"/>
                  <a:cs typeface="Angsana New" panose="02020603050405020304" pitchFamily="18" charset="-34"/>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
        <c:spPr>
          <a:solidFill>
            <a:srgbClr val="00B050"/>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anchor="ctr" anchorCtr="1"/>
            <a:lstStyle/>
            <a:p>
              <a:pPr>
                <a:defRPr sz="2000" b="0" i="0" u="none" strike="noStrike" kern="1200" baseline="0">
                  <a:solidFill>
                    <a:schemeClr val="lt1">
                      <a:lumMod val="85000"/>
                    </a:schemeClr>
                  </a:solidFill>
                  <a:latin typeface="Angsana New" panose="02020603050405020304" pitchFamily="18" charset="-34"/>
                  <a:ea typeface="+mn-ea"/>
                  <a:cs typeface="Angsana New" panose="02020603050405020304" pitchFamily="18" charset="-34"/>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8.0603149364383939E-2"/>
              <c:y val="-0.16354861869025894"/>
            </c:manualLayout>
          </c:layout>
          <c:spPr>
            <a:noFill/>
            <a:ln>
              <a:noFill/>
            </a:ln>
            <a:effectLst/>
          </c:spPr>
          <c:txPr>
            <a:bodyPr rot="0" spcFirstLastPara="1" vertOverflow="ellipsis" vert="horz" wrap="square" anchor="ctr" anchorCtr="1"/>
            <a:lstStyle/>
            <a:p>
              <a:pPr>
                <a:defRPr sz="2000" b="0" i="0" u="none" strike="noStrike" kern="1200" baseline="0">
                  <a:solidFill>
                    <a:schemeClr val="lt1">
                      <a:lumMod val="85000"/>
                    </a:schemeClr>
                  </a:solidFill>
                  <a:latin typeface="Angsana New" panose="02020603050405020304" pitchFamily="18" charset="-34"/>
                  <a:ea typeface="+mn-ea"/>
                  <a:cs typeface="Angsana New" panose="02020603050405020304" pitchFamily="18" charset="-34"/>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8.0603149364383939E-2"/>
              <c:y val="0.11522743589540953"/>
            </c:manualLayout>
          </c:layout>
          <c:spPr>
            <a:noFill/>
            <a:ln>
              <a:noFill/>
            </a:ln>
            <a:effectLst/>
          </c:spPr>
          <c:txPr>
            <a:bodyPr rot="0" spcFirstLastPara="1" vertOverflow="ellipsis" vert="horz" wrap="square" anchor="ctr" anchorCtr="1"/>
            <a:lstStyle/>
            <a:p>
              <a:pPr>
                <a:defRPr sz="2000" b="0" i="0" u="none" strike="noStrike" kern="1200" baseline="0">
                  <a:solidFill>
                    <a:schemeClr val="lt1">
                      <a:lumMod val="85000"/>
                    </a:schemeClr>
                  </a:solidFill>
                  <a:latin typeface="Angsana New" panose="02020603050405020304" pitchFamily="18" charset="-34"/>
                  <a:ea typeface="+mn-ea"/>
                  <a:cs typeface="Angsana New" panose="02020603050405020304" pitchFamily="18" charset="-34"/>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00B050"/>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8.8827960524015051E-2"/>
              <c:y val="0.10779340777312503"/>
            </c:manualLayout>
          </c:layout>
          <c:spPr>
            <a:noFill/>
            <a:ln>
              <a:noFill/>
            </a:ln>
            <a:effectLst/>
          </c:spPr>
          <c:txPr>
            <a:bodyPr rot="0" spcFirstLastPara="1" vertOverflow="ellipsis" vert="horz" wrap="square" anchor="ctr" anchorCtr="1"/>
            <a:lstStyle/>
            <a:p>
              <a:pPr>
                <a:defRPr sz="2000" b="0" i="0" u="none" strike="noStrike" kern="1200" baseline="0">
                  <a:solidFill>
                    <a:schemeClr val="lt1">
                      <a:lumMod val="85000"/>
                    </a:schemeClr>
                  </a:solidFill>
                  <a:latin typeface="Angsana New" panose="02020603050405020304" pitchFamily="18" charset="-34"/>
                  <a:ea typeface="+mn-ea"/>
                  <a:cs typeface="Angsana New" panose="02020603050405020304" pitchFamily="18" charset="-34"/>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10527758284327707"/>
              <c:y val="-8.177430934512947E-2"/>
            </c:manualLayout>
          </c:layout>
          <c:spPr>
            <a:noFill/>
            <a:ln>
              <a:noFill/>
            </a:ln>
            <a:effectLst/>
          </c:spPr>
          <c:txPr>
            <a:bodyPr rot="0" spcFirstLastPara="1" vertOverflow="ellipsis" vert="horz" wrap="square" anchor="ctr" anchorCtr="1"/>
            <a:lstStyle/>
            <a:p>
              <a:pPr>
                <a:defRPr sz="2000" b="0" i="0" u="none" strike="noStrike" kern="1200" baseline="0">
                  <a:solidFill>
                    <a:schemeClr val="lt1">
                      <a:lumMod val="85000"/>
                    </a:schemeClr>
                  </a:solidFill>
                  <a:latin typeface="Angsana New" panose="02020603050405020304" pitchFamily="18" charset="-34"/>
                  <a:ea typeface="+mn-ea"/>
                  <a:cs typeface="Angsana New" panose="02020603050405020304" pitchFamily="18" charset="-34"/>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Pivot_Analysis!$BB$3</c:f>
              <c:strCache>
                <c:ptCount val="1"/>
                <c:pt idx="0">
                  <c:v>Total</c:v>
                </c:pt>
              </c:strCache>
            </c:strRef>
          </c:tx>
          <c:explosion val="4"/>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9B19-4231-B65D-447CEEFB64DA}"/>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9B19-4231-B65D-447CEEFB64DA}"/>
              </c:ext>
            </c:extLst>
          </c:dPt>
          <c:dPt>
            <c:idx val="2"/>
            <c:bubble3D val="0"/>
            <c:spPr>
              <a:solidFill>
                <a:srgbClr val="00B050"/>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9B19-4231-B65D-447CEEFB64DA}"/>
              </c:ext>
            </c:extLst>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9B19-4231-B65D-447CEEFB64DA}"/>
              </c:ext>
            </c:extLst>
          </c:dPt>
          <c:dLbls>
            <c:dLbl>
              <c:idx val="0"/>
              <c:layout>
                <c:manualLayout>
                  <c:x val="8.0603149364383939E-2"/>
                  <c:y val="-0.1635486186902589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9B19-4231-B65D-447CEEFB64DA}"/>
                </c:ext>
              </c:extLst>
            </c:dLbl>
            <c:dLbl>
              <c:idx val="1"/>
              <c:layout>
                <c:manualLayout>
                  <c:x val="8.0603149364383939E-2"/>
                  <c:y val="0.1152274358954095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9B19-4231-B65D-447CEEFB64DA}"/>
                </c:ext>
              </c:extLst>
            </c:dLbl>
            <c:dLbl>
              <c:idx val="2"/>
              <c:layout>
                <c:manualLayout>
                  <c:x val="-8.8827960524015051E-2"/>
                  <c:y val="0.1077934077731250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9B19-4231-B65D-447CEEFB64DA}"/>
                </c:ext>
              </c:extLst>
            </c:dLbl>
            <c:dLbl>
              <c:idx val="3"/>
              <c:layout>
                <c:manualLayout>
                  <c:x val="-0.10527758284327707"/>
                  <c:y val="-8.17743093451294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9B19-4231-B65D-447CEEFB64DA}"/>
                </c:ext>
              </c:extLst>
            </c:dLbl>
            <c:spPr>
              <a:noFill/>
              <a:ln>
                <a:noFill/>
              </a:ln>
              <a:effectLst/>
            </c:spPr>
            <c:txPr>
              <a:bodyPr rot="0" spcFirstLastPara="1" vertOverflow="ellipsis" vert="horz" wrap="square" anchor="ctr" anchorCtr="1"/>
              <a:lstStyle/>
              <a:p>
                <a:pPr>
                  <a:defRPr sz="2000" b="0" i="0" u="none" strike="noStrike" kern="1200" baseline="0">
                    <a:solidFill>
                      <a:schemeClr val="lt1">
                        <a:lumMod val="85000"/>
                      </a:schemeClr>
                    </a:solidFill>
                    <a:latin typeface="Angsana New" panose="02020603050405020304" pitchFamily="18" charset="-34"/>
                    <a:ea typeface="+mn-ea"/>
                    <a:cs typeface="Angsana New" panose="02020603050405020304" pitchFamily="18" charset="-34"/>
                  </a:defRPr>
                </a:pPr>
                <a:endParaRPr lang="en-US"/>
              </a:p>
            </c:txPr>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Pivot_Analysis!$BA$4:$BA$8</c:f>
              <c:strCache>
                <c:ptCount val="4"/>
                <c:pt idx="0">
                  <c:v>Electronics</c:v>
                </c:pt>
                <c:pt idx="1">
                  <c:v>Networking</c:v>
                </c:pt>
                <c:pt idx="2">
                  <c:v>Office</c:v>
                </c:pt>
                <c:pt idx="3">
                  <c:v>Storage</c:v>
                </c:pt>
              </c:strCache>
            </c:strRef>
          </c:cat>
          <c:val>
            <c:numRef>
              <c:f>Pivot_Analysis!$BB$4:$BB$8</c:f>
              <c:numCache>
                <c:formatCode>"$"#,##0.00</c:formatCode>
                <c:ptCount val="4"/>
                <c:pt idx="0">
                  <c:v>137745.85</c:v>
                </c:pt>
                <c:pt idx="1">
                  <c:v>73292.75999999998</c:v>
                </c:pt>
                <c:pt idx="2">
                  <c:v>165860.60999999999</c:v>
                </c:pt>
                <c:pt idx="3">
                  <c:v>88309.760000000009</c:v>
                </c:pt>
              </c:numCache>
            </c:numRef>
          </c:val>
          <c:extLst>
            <c:ext xmlns:c16="http://schemas.microsoft.com/office/drawing/2014/chart" uri="{C3380CC4-5D6E-409C-BE32-E72D297353CC}">
              <c16:uniqueId val="{00000008-9B19-4231-B65D-447CEEFB64DA}"/>
            </c:ext>
          </c:extLst>
        </c:ser>
        <c:dLbls>
          <c:showLegendKey val="0"/>
          <c:showVal val="0"/>
          <c:showCatName val="0"/>
          <c:showSerName val="0"/>
          <c:showPercent val="0"/>
          <c:showBubbleSize val="0"/>
          <c:showLeaderLines val="1"/>
        </c:dLbls>
        <c:firstSliceAng val="0"/>
        <c:holeSize val="52"/>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2000" b="0" i="0" u="none" strike="noStrike" kern="1200" baseline="0">
              <a:solidFill>
                <a:schemeClr val="lt1">
                  <a:lumMod val="85000"/>
                </a:schemeClr>
              </a:solidFill>
              <a:latin typeface="Angsana New" panose="02020603050405020304" pitchFamily="18" charset="-34"/>
              <a:ea typeface="+mn-ea"/>
              <a:cs typeface="Angsana New" panose="02020603050405020304" pitchFamily="18" charset="-34"/>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sz="2000">
          <a:latin typeface="Angsana New" panose="02020603050405020304" pitchFamily="18" charset="-34"/>
          <a:cs typeface="Angsana New" panose="02020603050405020304" pitchFamily="18" charset="-34"/>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[Supply_Chain_Orders_Dashboard.xlsx]Pivot_Analysis!PivotTable8</c:name>
    <c:fmtId val="6"/>
  </c:pivotSource>
  <c:chart>
    <c:autoTitleDeleted val="1"/>
    <c:pivotFmts>
      <c:pivotFmt>
        <c:idx val="0"/>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dLbl>
          <c:idx val="0"/>
          <c:layout>
            <c:manualLayout>
              <c:x val="-4.6429060141448007E-2"/>
              <c:y val="5.678642714570858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
        <c:dLbl>
          <c:idx val="0"/>
          <c:layout>
            <c:manualLayout>
              <c:x val="-4.6429060141448007E-2"/>
              <c:y val="-5.964737192282102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
        <c:dLbl>
          <c:idx val="0"/>
          <c:layout>
            <c:manualLayout>
              <c:x val="-4.6429060141448091E-2"/>
              <c:y val="-5.299401197604790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
        <c:dLbl>
          <c:idx val="0"/>
          <c:layout>
            <c:manualLayout>
              <c:x val="-4.1944252427578745E-2"/>
              <c:y val="6.343978709248164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
        <c:dLbl>
          <c:idx val="0"/>
          <c:layout>
            <c:manualLayout>
              <c:x val="-4.6429060141448007E-2"/>
              <c:y val="-6.297405189620761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
        <c:dLbl>
          <c:idx val="0"/>
          <c:layout>
            <c:manualLayout>
              <c:x val="-3.2450055751103768E-2"/>
              <c:y val="7.341982701264138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7"/>
        <c:dLbl>
          <c:idx val="0"/>
          <c:layout>
            <c:manualLayout>
              <c:x val="-4.6429060141448049E-2"/>
              <c:y val="-5.632069194943449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8"/>
        <c:dLbl>
          <c:idx val="0"/>
          <c:layout>
            <c:manualLayout>
              <c:x val="-4.1944252427578765E-2"/>
              <c:y val="7.34198270126414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9"/>
        <c:dLbl>
          <c:idx val="0"/>
          <c:layout>
            <c:manualLayout>
              <c:x val="-4.6429060141448007E-2"/>
              <c:y val="-6.297405189620763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0"/>
        <c:dLbl>
          <c:idx val="0"/>
          <c:layout>
            <c:manualLayout>
              <c:x val="-5.9883483283055858E-2"/>
              <c:y val="7.341982701264132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1"/>
        <c:dLbl>
          <c:idx val="0"/>
          <c:layout>
            <c:manualLayout>
              <c:x val="1.1873440138852472E-2"/>
              <c:y val="5.013306719893539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2"/>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layout>
            <c:manualLayout>
              <c:x val="-3.0715085847913885E-2"/>
              <c:y val="-6.753791545659890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3"/>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layout>
            <c:manualLayout>
              <c:x val="-3.0715085847913871E-2"/>
              <c:y val="6.476282671829622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4"/>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layout>
            <c:manualLayout>
              <c:x val="-3.0715085847913871E-2"/>
              <c:y val="-6.431106808647954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5"/>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layout>
            <c:manualLayout>
              <c:x val="-4.8516598976529803E-2"/>
              <c:y val="8.089706356889318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6"/>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layout>
            <c:manualLayout>
              <c:x val="-6.979735009759294E-3"/>
              <c:y val="6.476282671829622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7"/>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layout>
            <c:manualLayout>
              <c:x val="-3.0715085847913871E-2"/>
              <c:y val="-6.431106808647950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8"/>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layout>
            <c:manualLayout>
              <c:x val="-3.0715085847913978E-2"/>
              <c:y val="8.089706356889318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9"/>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layout>
            <c:manualLayout>
              <c:x val="-3.0715085847913978E-2"/>
              <c:y val="-6.753791545659890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0"/>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layout>
            <c:manualLayout>
              <c:x val="-2.9231626420529209E-2"/>
              <c:y val="6.798967408841562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1"/>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layout>
            <c:manualLayout>
              <c:x val="-3.6648923557452626E-2"/>
              <c:y val="-6.431106808647950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2"/>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layout>
            <c:manualLayout>
              <c:x val="-2.4781248138375334E-2"/>
              <c:y val="-7.076476282671832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3"/>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layout>
            <c:manualLayout>
              <c:x val="-5.0000058403914464E-2"/>
              <c:y val="7.121652145853500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4"/>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5"/>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layout>
            <c:manualLayout>
              <c:x val="-3.0715085847913885E-2"/>
              <c:y val="-6.753791545659890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6"/>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layout>
            <c:manualLayout>
              <c:x val="-3.0715085847913871E-2"/>
              <c:y val="6.476282671829622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7"/>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layout>
            <c:manualLayout>
              <c:x val="-3.0715085847913871E-2"/>
              <c:y val="-6.431106808647954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8"/>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layout>
            <c:manualLayout>
              <c:x val="-4.8516598976529803E-2"/>
              <c:y val="8.089706356889318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9"/>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layout>
            <c:manualLayout>
              <c:x val="-6.979735009759294E-3"/>
              <c:y val="6.476282671829622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0"/>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layout>
            <c:manualLayout>
              <c:x val="-3.0715085847913871E-2"/>
              <c:y val="-6.431106808647950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1"/>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layout>
            <c:manualLayout>
              <c:x val="-3.0715085847913978E-2"/>
              <c:y val="8.089706356889318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2"/>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layout>
            <c:manualLayout>
              <c:x val="-3.0715085847913978E-2"/>
              <c:y val="-6.753791545659890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3"/>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layout>
            <c:manualLayout>
              <c:x val="-2.9231626420529209E-2"/>
              <c:y val="6.798967408841562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4"/>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layout>
            <c:manualLayout>
              <c:x val="-3.6648923557452626E-2"/>
              <c:y val="-6.431106808647950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5"/>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layout>
            <c:manualLayout>
              <c:x val="-2.4781248138375334E-2"/>
              <c:y val="-7.076476282671832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6"/>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layout>
            <c:manualLayout>
              <c:x val="-5.0000058403914464E-2"/>
              <c:y val="7.121652145853500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7"/>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anchor="ctr" anchorCtr="1"/>
            <a:lstStyle/>
            <a:p>
              <a:pPr>
                <a:defRPr sz="1600" b="0" i="0" u="none" strike="noStrike" kern="1200" baseline="0">
                  <a:solidFill>
                    <a:schemeClr val="lt1">
                      <a:lumMod val="75000"/>
                    </a:schemeClr>
                  </a:solidFill>
                  <a:latin typeface="Angsana New" panose="02020603050405020304" pitchFamily="18" charset="-34"/>
                  <a:ea typeface="+mn-ea"/>
                  <a:cs typeface="Angsana New" panose="02020603050405020304" pitchFamily="18" charset="-34"/>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8"/>
        <c:dLbl>
          <c:idx val="0"/>
          <c:layout>
            <c:manualLayout>
              <c:x val="-3.759599248281701E-2"/>
              <c:y val="-8.2083321403006462E-2"/>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39"/>
        <c:dLbl>
          <c:idx val="0"/>
          <c:layout>
            <c:manualLayout>
              <c:x val="-3.2091280264945697E-2"/>
              <c:y val="8.5126413743736529E-2"/>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40"/>
        <c:dLbl>
          <c:idx val="0"/>
          <c:layout>
            <c:manualLayout>
              <c:x val="-3.2091280264945697E-2"/>
              <c:y val="-9.0492884753042235E-2"/>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41"/>
        <c:dLbl>
          <c:idx val="0"/>
          <c:layout>
            <c:manualLayout>
              <c:x val="-4.8516598976529803E-2"/>
              <c:y val="8.0897063568893188E-2"/>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42"/>
        <c:dLbl>
          <c:idx val="0"/>
          <c:layout>
            <c:manualLayout>
              <c:x val="-6.9797150271166675E-3"/>
              <c:y val="9.094459556191839E-2"/>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43"/>
        <c:dLbl>
          <c:idx val="0"/>
          <c:layout>
            <c:manualLayout>
              <c:x val="-3.0715085847913871E-2"/>
              <c:y val="-6.4311068086479503E-2"/>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44"/>
        <c:dLbl>
          <c:idx val="0"/>
          <c:layout>
            <c:manualLayout>
              <c:x val="-3.0715085847913978E-2"/>
              <c:y val="8.0897063568893188E-2"/>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45"/>
        <c:dLbl>
          <c:idx val="0"/>
          <c:layout>
            <c:manualLayout>
              <c:x val="-3.0715085847913978E-2"/>
              <c:y val="-6.7537915456598901E-2"/>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46"/>
        <c:dLbl>
          <c:idx val="0"/>
          <c:layout>
            <c:manualLayout>
              <c:x val="-2.9231626420529209E-2"/>
              <c:y val="6.7989674088415622E-2"/>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47"/>
        <c:dLbl>
          <c:idx val="0"/>
          <c:layout>
            <c:manualLayout>
              <c:x val="-3.6648923557452626E-2"/>
              <c:y val="-6.4311068086479503E-2"/>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48"/>
        <c:dLbl>
          <c:idx val="0"/>
          <c:layout>
            <c:manualLayout>
              <c:x val="-2.4781248138375334E-2"/>
              <c:y val="-7.0764762826718328E-2"/>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49"/>
        <c:dLbl>
          <c:idx val="0"/>
          <c:layout>
            <c:manualLayout>
              <c:x val="-5.0000058403914464E-2"/>
              <c:y val="7.1216521458535006E-2"/>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50"/>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lt1">
                      <a:lumMod val="75000"/>
                    </a:schemeClr>
                  </a:solidFill>
                  <a:latin typeface="Angsana New" panose="02020603050405020304" pitchFamily="18" charset="-34"/>
                  <a:ea typeface="+mn-ea"/>
                  <a:cs typeface="Angsana New" panose="02020603050405020304" pitchFamily="18" charset="-34"/>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1"/>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layout>
            <c:manualLayout>
              <c:x val="-4.6459771118833856E-2"/>
              <c:y val="8.6378239083750891E-2"/>
            </c:manualLayout>
          </c:layout>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lt1">
                      <a:lumMod val="75000"/>
                    </a:schemeClr>
                  </a:solidFill>
                  <a:latin typeface="Angsana New" panose="02020603050405020304" pitchFamily="18" charset="-34"/>
                  <a:ea typeface="+mn-ea"/>
                  <a:cs typeface="Angsana New" panose="02020603050405020304" pitchFamily="18" charset="-34"/>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2"/>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layout>
            <c:manualLayout>
              <c:x val="-4.7835949173301667E-2"/>
              <c:y val="-6.4894488188976376E-2"/>
            </c:manualLayout>
          </c:layout>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lt1">
                      <a:lumMod val="75000"/>
                    </a:schemeClr>
                  </a:solidFill>
                  <a:latin typeface="Angsana New" panose="02020603050405020304" pitchFamily="18" charset="-34"/>
                  <a:ea typeface="+mn-ea"/>
                  <a:cs typeface="Angsana New" panose="02020603050405020304" pitchFamily="18" charset="-34"/>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3"/>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layout>
            <c:manualLayout>
              <c:x val="-4.0955058900962585E-2"/>
              <c:y val="8.6378239083750891E-2"/>
            </c:manualLayout>
          </c:layout>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lt1">
                      <a:lumMod val="75000"/>
                    </a:schemeClr>
                  </a:solidFill>
                  <a:latin typeface="Angsana New" panose="02020603050405020304" pitchFamily="18" charset="-34"/>
                  <a:ea typeface="+mn-ea"/>
                  <a:cs typeface="Angsana New" panose="02020603050405020304" pitchFamily="18" charset="-34"/>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4"/>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layout>
            <c:manualLayout>
              <c:x val="-5.609301750010863E-2"/>
              <c:y val="-6.4894488188976376E-2"/>
            </c:manualLayout>
          </c:layout>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lt1">
                      <a:lumMod val="75000"/>
                    </a:schemeClr>
                  </a:solidFill>
                  <a:latin typeface="Angsana New" panose="02020603050405020304" pitchFamily="18" charset="-34"/>
                  <a:ea typeface="+mn-ea"/>
                  <a:cs typeface="Angsana New" panose="02020603050405020304" pitchFamily="18" charset="-34"/>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5"/>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layout>
            <c:manualLayout>
              <c:x val="-2.7193278356284312E-2"/>
              <c:y val="-7.3621760916249099E-2"/>
            </c:manualLayout>
          </c:layout>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lt1">
                      <a:lumMod val="75000"/>
                    </a:schemeClr>
                  </a:solidFill>
                  <a:latin typeface="Angsana New" panose="02020603050405020304" pitchFamily="18" charset="-34"/>
                  <a:ea typeface="+mn-ea"/>
                  <a:cs typeface="Angsana New" panose="02020603050405020304" pitchFamily="18" charset="-34"/>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6"/>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layout>
            <c:manualLayout>
              <c:x val="-4.6459771118833842E-2"/>
              <c:y val="8.0560057265569071E-2"/>
            </c:manualLayout>
          </c:layout>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lt1">
                      <a:lumMod val="75000"/>
                    </a:schemeClr>
                  </a:solidFill>
                  <a:latin typeface="Angsana New" panose="02020603050405020304" pitchFamily="18" charset="-34"/>
                  <a:ea typeface="+mn-ea"/>
                  <a:cs typeface="Angsana New" panose="02020603050405020304" pitchFamily="18" charset="-34"/>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7"/>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layout>
            <c:manualLayout>
              <c:x val="-4.370741500989829E-2"/>
              <c:y val="-7.6530851825340029E-2"/>
            </c:manualLayout>
          </c:layout>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lt1">
                      <a:lumMod val="75000"/>
                    </a:schemeClr>
                  </a:solidFill>
                  <a:latin typeface="Angsana New" panose="02020603050405020304" pitchFamily="18" charset="-34"/>
                  <a:ea typeface="+mn-ea"/>
                  <a:cs typeface="Angsana New" panose="02020603050405020304" pitchFamily="18" charset="-34"/>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8"/>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layout>
            <c:manualLayout>
              <c:x val="-4.370741500989829E-2"/>
              <c:y val="7.1832784538296404E-2"/>
            </c:manualLayout>
          </c:layout>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lt1">
                      <a:lumMod val="75000"/>
                    </a:schemeClr>
                  </a:solidFill>
                  <a:latin typeface="Angsana New" panose="02020603050405020304" pitchFamily="18" charset="-34"/>
                  <a:ea typeface="+mn-ea"/>
                  <a:cs typeface="Angsana New" panose="02020603050405020304" pitchFamily="18" charset="-34"/>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9"/>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layout>
            <c:manualLayout>
              <c:x val="-4.3707415009898186E-2"/>
              <c:y val="-6.1985397279885494E-2"/>
            </c:manualLayout>
          </c:layout>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lt1">
                      <a:lumMod val="75000"/>
                    </a:schemeClr>
                  </a:solidFill>
                  <a:latin typeface="Angsana New" panose="02020603050405020304" pitchFamily="18" charset="-34"/>
                  <a:ea typeface="+mn-ea"/>
                  <a:cs typeface="Angsana New" panose="02020603050405020304" pitchFamily="18" charset="-34"/>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0"/>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layout>
            <c:manualLayout>
              <c:x val="-3.7321948837167669E-2"/>
              <c:y val="-0.39071267000715826"/>
            </c:manualLayout>
          </c:layout>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lt1">
                      <a:lumMod val="75000"/>
                    </a:schemeClr>
                  </a:solidFill>
                  <a:latin typeface="Angsana New" panose="02020603050405020304" pitchFamily="18" charset="-34"/>
                  <a:ea typeface="+mn-ea"/>
                  <a:cs typeface="Angsana New" panose="02020603050405020304" pitchFamily="18" charset="-34"/>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1"/>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layout>
            <c:manualLayout>
              <c:x val="-4.3707415009898186E-2"/>
              <c:y val="-7.3621760916249099E-2"/>
            </c:manualLayout>
          </c:layout>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lt1">
                      <a:lumMod val="75000"/>
                    </a:schemeClr>
                  </a:solidFill>
                  <a:latin typeface="Angsana New" panose="02020603050405020304" pitchFamily="18" charset="-34"/>
                  <a:ea typeface="+mn-ea"/>
                  <a:cs typeface="Angsana New" panose="02020603050405020304" pitchFamily="18" charset="-34"/>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2"/>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layout>
            <c:manualLayout>
              <c:x val="-1.8975436522053673E-2"/>
              <c:y val="8.0560057265568974E-2"/>
            </c:manualLayout>
          </c:layout>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lt1">
                      <a:lumMod val="75000"/>
                    </a:schemeClr>
                  </a:solidFill>
                  <a:latin typeface="Angsana New" panose="02020603050405020304" pitchFamily="18" charset="-34"/>
                  <a:ea typeface="+mn-ea"/>
                  <a:cs typeface="Angsana New" panose="02020603050405020304" pitchFamily="18" charset="-34"/>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Pivot_Analysis!$AD$3</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Pt>
            <c:idx val="0"/>
            <c:marker>
              <c:symbol val="circle"/>
              <c:size val="4"/>
              <c:spPr>
                <a:solidFill>
                  <a:schemeClr val="accent1">
                    <a:lumMod val="60000"/>
                    <a:lumOff val="40000"/>
                  </a:schemeClr>
                </a:solidFill>
                <a:ln>
                  <a:noFill/>
                </a:ln>
                <a:effectLst>
                  <a:glow rad="63500">
                    <a:schemeClr val="accent1">
                      <a:satMod val="175000"/>
                      <a:alpha val="25000"/>
                    </a:schemeClr>
                  </a:glow>
                </a:effectLst>
              </c:spPr>
            </c:marker>
            <c:bubble3D val="0"/>
            <c:spPr>
              <a:ln w="22225" cap="rnd">
                <a:solidFill>
                  <a:schemeClr val="accent1"/>
                </a:solidFill>
              </a:ln>
              <a:effectLst>
                <a:glow rad="139700">
                  <a:schemeClr val="accent1">
                    <a:satMod val="175000"/>
                    <a:alpha val="14000"/>
                  </a:schemeClr>
                </a:glow>
              </a:effectLst>
            </c:spPr>
            <c:extLst>
              <c:ext xmlns:c16="http://schemas.microsoft.com/office/drawing/2014/chart" uri="{C3380CC4-5D6E-409C-BE32-E72D297353CC}">
                <c16:uniqueId val="{0000000F-E4BC-490E-ADCF-F4918A2173CE}"/>
              </c:ext>
            </c:extLst>
          </c:dPt>
          <c:dPt>
            <c:idx val="1"/>
            <c:marker>
              <c:symbol val="circle"/>
              <c:size val="4"/>
              <c:spPr>
                <a:solidFill>
                  <a:schemeClr val="accent1">
                    <a:lumMod val="60000"/>
                    <a:lumOff val="40000"/>
                  </a:schemeClr>
                </a:solidFill>
                <a:ln>
                  <a:noFill/>
                </a:ln>
                <a:effectLst>
                  <a:glow rad="63500">
                    <a:schemeClr val="accent1">
                      <a:satMod val="175000"/>
                      <a:alpha val="25000"/>
                    </a:schemeClr>
                  </a:glow>
                </a:effectLst>
              </c:spPr>
            </c:marker>
            <c:bubble3D val="0"/>
            <c:spPr>
              <a:ln w="22225" cap="rnd">
                <a:solidFill>
                  <a:schemeClr val="accent1"/>
                </a:solidFill>
              </a:ln>
              <a:effectLst>
                <a:glow rad="139700">
                  <a:schemeClr val="accent1">
                    <a:satMod val="175000"/>
                    <a:alpha val="14000"/>
                  </a:schemeClr>
                </a:glow>
              </a:effectLst>
            </c:spPr>
            <c:extLst>
              <c:ext xmlns:c16="http://schemas.microsoft.com/office/drawing/2014/chart" uri="{C3380CC4-5D6E-409C-BE32-E72D297353CC}">
                <c16:uniqueId val="{00000010-E4BC-490E-ADCF-F4918A2173CE}"/>
              </c:ext>
            </c:extLst>
          </c:dPt>
          <c:dPt>
            <c:idx val="2"/>
            <c:marker>
              <c:symbol val="circle"/>
              <c:size val="4"/>
              <c:spPr>
                <a:solidFill>
                  <a:schemeClr val="accent1">
                    <a:lumMod val="60000"/>
                    <a:lumOff val="40000"/>
                  </a:schemeClr>
                </a:solidFill>
                <a:ln>
                  <a:noFill/>
                </a:ln>
                <a:effectLst>
                  <a:glow rad="63500">
                    <a:schemeClr val="accent1">
                      <a:satMod val="175000"/>
                      <a:alpha val="25000"/>
                    </a:schemeClr>
                  </a:glow>
                </a:effectLst>
              </c:spPr>
            </c:marker>
            <c:bubble3D val="0"/>
            <c:spPr>
              <a:ln w="22225" cap="rnd">
                <a:solidFill>
                  <a:schemeClr val="accent1"/>
                </a:solidFill>
              </a:ln>
              <a:effectLst>
                <a:glow rad="139700">
                  <a:schemeClr val="accent1">
                    <a:satMod val="175000"/>
                    <a:alpha val="14000"/>
                  </a:schemeClr>
                </a:glow>
              </a:effectLst>
            </c:spPr>
            <c:extLst>
              <c:ext xmlns:c16="http://schemas.microsoft.com/office/drawing/2014/chart" uri="{C3380CC4-5D6E-409C-BE32-E72D297353CC}">
                <c16:uniqueId val="{00000011-E4BC-490E-ADCF-F4918A2173CE}"/>
              </c:ext>
            </c:extLst>
          </c:dPt>
          <c:dPt>
            <c:idx val="3"/>
            <c:marker>
              <c:symbol val="circle"/>
              <c:size val="4"/>
              <c:spPr>
                <a:solidFill>
                  <a:schemeClr val="accent1">
                    <a:lumMod val="60000"/>
                    <a:lumOff val="40000"/>
                  </a:schemeClr>
                </a:solidFill>
                <a:ln>
                  <a:noFill/>
                </a:ln>
                <a:effectLst>
                  <a:glow rad="63500">
                    <a:schemeClr val="accent1">
                      <a:satMod val="175000"/>
                      <a:alpha val="25000"/>
                    </a:schemeClr>
                  </a:glow>
                </a:effectLst>
              </c:spPr>
            </c:marker>
            <c:bubble3D val="0"/>
            <c:spPr>
              <a:ln w="22225" cap="rnd">
                <a:solidFill>
                  <a:schemeClr val="accent1"/>
                </a:solidFill>
              </a:ln>
              <a:effectLst>
                <a:glow rad="139700">
                  <a:schemeClr val="accent1">
                    <a:satMod val="175000"/>
                    <a:alpha val="14000"/>
                  </a:schemeClr>
                </a:glow>
              </a:effectLst>
            </c:spPr>
            <c:extLst>
              <c:ext xmlns:c16="http://schemas.microsoft.com/office/drawing/2014/chart" uri="{C3380CC4-5D6E-409C-BE32-E72D297353CC}">
                <c16:uniqueId val="{00000012-E4BC-490E-ADCF-F4918A2173CE}"/>
              </c:ext>
            </c:extLst>
          </c:dPt>
          <c:dPt>
            <c:idx val="4"/>
            <c:marker>
              <c:symbol val="circle"/>
              <c:size val="4"/>
              <c:spPr>
                <a:solidFill>
                  <a:schemeClr val="accent1">
                    <a:lumMod val="60000"/>
                    <a:lumOff val="40000"/>
                  </a:schemeClr>
                </a:solidFill>
                <a:ln>
                  <a:noFill/>
                </a:ln>
                <a:effectLst>
                  <a:glow rad="63500">
                    <a:schemeClr val="accent1">
                      <a:satMod val="175000"/>
                      <a:alpha val="25000"/>
                    </a:schemeClr>
                  </a:glow>
                </a:effectLst>
              </c:spPr>
            </c:marker>
            <c:bubble3D val="0"/>
            <c:spPr>
              <a:ln w="22225" cap="rnd">
                <a:solidFill>
                  <a:schemeClr val="accent1"/>
                </a:solidFill>
              </a:ln>
              <a:effectLst>
                <a:glow rad="139700">
                  <a:schemeClr val="accent1">
                    <a:satMod val="175000"/>
                    <a:alpha val="14000"/>
                  </a:schemeClr>
                </a:glow>
              </a:effectLst>
            </c:spPr>
            <c:extLst>
              <c:ext xmlns:c16="http://schemas.microsoft.com/office/drawing/2014/chart" uri="{C3380CC4-5D6E-409C-BE32-E72D297353CC}">
                <c16:uniqueId val="{00000013-E4BC-490E-ADCF-F4918A2173CE}"/>
              </c:ext>
            </c:extLst>
          </c:dPt>
          <c:dPt>
            <c:idx val="5"/>
            <c:marker>
              <c:symbol val="circle"/>
              <c:size val="4"/>
              <c:spPr>
                <a:solidFill>
                  <a:schemeClr val="accent1">
                    <a:lumMod val="60000"/>
                    <a:lumOff val="40000"/>
                  </a:schemeClr>
                </a:solidFill>
                <a:ln>
                  <a:noFill/>
                </a:ln>
                <a:effectLst>
                  <a:glow rad="63500">
                    <a:schemeClr val="accent1">
                      <a:satMod val="175000"/>
                      <a:alpha val="25000"/>
                    </a:schemeClr>
                  </a:glow>
                </a:effectLst>
              </c:spPr>
            </c:marker>
            <c:bubble3D val="0"/>
            <c:spPr>
              <a:ln w="22225" cap="rnd">
                <a:solidFill>
                  <a:schemeClr val="accent1"/>
                </a:solidFill>
              </a:ln>
              <a:effectLst>
                <a:glow rad="139700">
                  <a:schemeClr val="accent1">
                    <a:satMod val="175000"/>
                    <a:alpha val="14000"/>
                  </a:schemeClr>
                </a:glow>
              </a:effectLst>
            </c:spPr>
            <c:extLst>
              <c:ext xmlns:c16="http://schemas.microsoft.com/office/drawing/2014/chart" uri="{C3380CC4-5D6E-409C-BE32-E72D297353CC}">
                <c16:uniqueId val="{00000014-E4BC-490E-ADCF-F4918A2173CE}"/>
              </c:ext>
            </c:extLst>
          </c:dPt>
          <c:dPt>
            <c:idx val="6"/>
            <c:marker>
              <c:symbol val="circle"/>
              <c:size val="4"/>
              <c:spPr>
                <a:solidFill>
                  <a:schemeClr val="accent1">
                    <a:lumMod val="60000"/>
                    <a:lumOff val="40000"/>
                  </a:schemeClr>
                </a:solidFill>
                <a:ln>
                  <a:noFill/>
                </a:ln>
                <a:effectLst>
                  <a:glow rad="63500">
                    <a:schemeClr val="accent1">
                      <a:satMod val="175000"/>
                      <a:alpha val="25000"/>
                    </a:schemeClr>
                  </a:glow>
                </a:effectLst>
              </c:spPr>
            </c:marker>
            <c:bubble3D val="0"/>
            <c:spPr>
              <a:ln w="22225" cap="rnd">
                <a:solidFill>
                  <a:schemeClr val="accent1"/>
                </a:solidFill>
              </a:ln>
              <a:effectLst>
                <a:glow rad="139700">
                  <a:schemeClr val="accent1">
                    <a:satMod val="175000"/>
                    <a:alpha val="14000"/>
                  </a:schemeClr>
                </a:glow>
              </a:effectLst>
            </c:spPr>
            <c:extLst>
              <c:ext xmlns:c16="http://schemas.microsoft.com/office/drawing/2014/chart" uri="{C3380CC4-5D6E-409C-BE32-E72D297353CC}">
                <c16:uniqueId val="{00000015-E4BC-490E-ADCF-F4918A2173CE}"/>
              </c:ext>
            </c:extLst>
          </c:dPt>
          <c:dPt>
            <c:idx val="7"/>
            <c:marker>
              <c:symbol val="circle"/>
              <c:size val="4"/>
              <c:spPr>
                <a:solidFill>
                  <a:schemeClr val="accent1">
                    <a:lumMod val="60000"/>
                    <a:lumOff val="40000"/>
                  </a:schemeClr>
                </a:solidFill>
                <a:ln>
                  <a:noFill/>
                </a:ln>
                <a:effectLst>
                  <a:glow rad="63500">
                    <a:schemeClr val="accent1">
                      <a:satMod val="175000"/>
                      <a:alpha val="25000"/>
                    </a:schemeClr>
                  </a:glow>
                </a:effectLst>
              </c:spPr>
            </c:marker>
            <c:bubble3D val="0"/>
            <c:spPr>
              <a:ln w="22225" cap="rnd">
                <a:solidFill>
                  <a:schemeClr val="accent1"/>
                </a:solidFill>
              </a:ln>
              <a:effectLst>
                <a:glow rad="139700">
                  <a:schemeClr val="accent1">
                    <a:satMod val="175000"/>
                    <a:alpha val="14000"/>
                  </a:schemeClr>
                </a:glow>
              </a:effectLst>
            </c:spPr>
            <c:extLst>
              <c:ext xmlns:c16="http://schemas.microsoft.com/office/drawing/2014/chart" uri="{C3380CC4-5D6E-409C-BE32-E72D297353CC}">
                <c16:uniqueId val="{00000016-E4BC-490E-ADCF-F4918A2173CE}"/>
              </c:ext>
            </c:extLst>
          </c:dPt>
          <c:dPt>
            <c:idx val="8"/>
            <c:marker>
              <c:symbol val="circle"/>
              <c:size val="4"/>
              <c:spPr>
                <a:solidFill>
                  <a:schemeClr val="accent1">
                    <a:lumMod val="60000"/>
                    <a:lumOff val="40000"/>
                  </a:schemeClr>
                </a:solidFill>
                <a:ln>
                  <a:noFill/>
                </a:ln>
                <a:effectLst>
                  <a:glow rad="63500">
                    <a:schemeClr val="accent1">
                      <a:satMod val="175000"/>
                      <a:alpha val="25000"/>
                    </a:schemeClr>
                  </a:glow>
                </a:effectLst>
              </c:spPr>
            </c:marker>
            <c:bubble3D val="0"/>
            <c:spPr>
              <a:ln w="22225" cap="rnd">
                <a:solidFill>
                  <a:schemeClr val="accent1"/>
                </a:solidFill>
              </a:ln>
              <a:effectLst>
                <a:glow rad="139700">
                  <a:schemeClr val="accent1">
                    <a:satMod val="175000"/>
                    <a:alpha val="14000"/>
                  </a:schemeClr>
                </a:glow>
              </a:effectLst>
            </c:spPr>
            <c:extLst>
              <c:ext xmlns:c16="http://schemas.microsoft.com/office/drawing/2014/chart" uri="{C3380CC4-5D6E-409C-BE32-E72D297353CC}">
                <c16:uniqueId val="{00000017-E4BC-490E-ADCF-F4918A2173CE}"/>
              </c:ext>
            </c:extLst>
          </c:dPt>
          <c:dPt>
            <c:idx val="9"/>
            <c:marker>
              <c:symbol val="circle"/>
              <c:size val="4"/>
              <c:spPr>
                <a:solidFill>
                  <a:schemeClr val="accent1">
                    <a:lumMod val="60000"/>
                    <a:lumOff val="40000"/>
                  </a:schemeClr>
                </a:solidFill>
                <a:ln>
                  <a:noFill/>
                </a:ln>
                <a:effectLst>
                  <a:glow rad="63500">
                    <a:schemeClr val="accent1">
                      <a:satMod val="175000"/>
                      <a:alpha val="25000"/>
                    </a:schemeClr>
                  </a:glow>
                </a:effectLst>
              </c:spPr>
            </c:marker>
            <c:bubble3D val="0"/>
            <c:spPr>
              <a:ln w="22225" cap="rnd">
                <a:solidFill>
                  <a:schemeClr val="accent1"/>
                </a:solidFill>
              </a:ln>
              <a:effectLst>
                <a:glow rad="139700">
                  <a:schemeClr val="accent1">
                    <a:satMod val="175000"/>
                    <a:alpha val="14000"/>
                  </a:schemeClr>
                </a:glow>
              </a:effectLst>
            </c:spPr>
            <c:extLst>
              <c:ext xmlns:c16="http://schemas.microsoft.com/office/drawing/2014/chart" uri="{C3380CC4-5D6E-409C-BE32-E72D297353CC}">
                <c16:uniqueId val="{00000018-E4BC-490E-ADCF-F4918A2173CE}"/>
              </c:ext>
            </c:extLst>
          </c:dPt>
          <c:dPt>
            <c:idx val="10"/>
            <c:marker>
              <c:symbol val="circle"/>
              <c:size val="4"/>
              <c:spPr>
                <a:solidFill>
                  <a:schemeClr val="accent1">
                    <a:lumMod val="60000"/>
                    <a:lumOff val="40000"/>
                  </a:schemeClr>
                </a:solidFill>
                <a:ln>
                  <a:noFill/>
                </a:ln>
                <a:effectLst>
                  <a:glow rad="63500">
                    <a:schemeClr val="accent1">
                      <a:satMod val="175000"/>
                      <a:alpha val="25000"/>
                    </a:schemeClr>
                  </a:glow>
                </a:effectLst>
              </c:spPr>
            </c:marker>
            <c:bubble3D val="0"/>
            <c:spPr>
              <a:ln w="22225" cap="rnd">
                <a:solidFill>
                  <a:schemeClr val="accent1"/>
                </a:solidFill>
              </a:ln>
              <a:effectLst>
                <a:glow rad="139700">
                  <a:schemeClr val="accent1">
                    <a:satMod val="175000"/>
                    <a:alpha val="14000"/>
                  </a:schemeClr>
                </a:glow>
              </a:effectLst>
            </c:spPr>
            <c:extLst>
              <c:ext xmlns:c16="http://schemas.microsoft.com/office/drawing/2014/chart" uri="{C3380CC4-5D6E-409C-BE32-E72D297353CC}">
                <c16:uniqueId val="{00000019-E4BC-490E-ADCF-F4918A2173CE}"/>
              </c:ext>
            </c:extLst>
          </c:dPt>
          <c:dPt>
            <c:idx val="11"/>
            <c:marker>
              <c:symbol val="circle"/>
              <c:size val="4"/>
              <c:spPr>
                <a:solidFill>
                  <a:schemeClr val="accent1">
                    <a:lumMod val="60000"/>
                    <a:lumOff val="40000"/>
                  </a:schemeClr>
                </a:solidFill>
                <a:ln>
                  <a:noFill/>
                </a:ln>
                <a:effectLst>
                  <a:glow rad="63500">
                    <a:schemeClr val="accent1">
                      <a:satMod val="175000"/>
                      <a:alpha val="25000"/>
                    </a:schemeClr>
                  </a:glow>
                </a:effectLst>
              </c:spPr>
            </c:marker>
            <c:bubble3D val="0"/>
            <c:spPr>
              <a:ln w="22225" cap="rnd">
                <a:solidFill>
                  <a:schemeClr val="accent1"/>
                </a:solidFill>
              </a:ln>
              <a:effectLst>
                <a:glow rad="139700">
                  <a:schemeClr val="accent1">
                    <a:satMod val="175000"/>
                    <a:alpha val="14000"/>
                  </a:schemeClr>
                </a:glow>
              </a:effectLst>
            </c:spPr>
            <c:extLst>
              <c:ext xmlns:c16="http://schemas.microsoft.com/office/drawing/2014/chart" uri="{C3380CC4-5D6E-409C-BE32-E72D297353CC}">
                <c16:uniqueId val="{0000001A-E4BC-490E-ADCF-F4918A2173CE}"/>
              </c:ext>
            </c:extLst>
          </c:dPt>
          <c:dLbls>
            <c:dLbl>
              <c:idx val="0"/>
              <c:layout>
                <c:manualLayout>
                  <c:x val="-4.6459771118833856E-2"/>
                  <c:y val="8.637823908375089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E4BC-490E-ADCF-F4918A2173CE}"/>
                </c:ext>
              </c:extLst>
            </c:dLbl>
            <c:dLbl>
              <c:idx val="1"/>
              <c:layout>
                <c:manualLayout>
                  <c:x val="-4.7835949173301667E-2"/>
                  <c:y val="-6.489448818897637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E4BC-490E-ADCF-F4918A2173CE}"/>
                </c:ext>
              </c:extLst>
            </c:dLbl>
            <c:dLbl>
              <c:idx val="2"/>
              <c:layout>
                <c:manualLayout>
                  <c:x val="-4.0955058900962585E-2"/>
                  <c:y val="8.637823908375089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E4BC-490E-ADCF-F4918A2173CE}"/>
                </c:ext>
              </c:extLst>
            </c:dLbl>
            <c:dLbl>
              <c:idx val="3"/>
              <c:layout>
                <c:manualLayout>
                  <c:x val="-5.609301750010863E-2"/>
                  <c:y val="-6.489448818897637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E4BC-490E-ADCF-F4918A2173CE}"/>
                </c:ext>
              </c:extLst>
            </c:dLbl>
            <c:dLbl>
              <c:idx val="4"/>
              <c:layout>
                <c:manualLayout>
                  <c:x val="-2.7193278356284312E-2"/>
                  <c:y val="-7.362176091624909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3-E4BC-490E-ADCF-F4918A2173CE}"/>
                </c:ext>
              </c:extLst>
            </c:dLbl>
            <c:dLbl>
              <c:idx val="5"/>
              <c:layout>
                <c:manualLayout>
                  <c:x val="-4.6459771118833842E-2"/>
                  <c:y val="8.056005726556907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4-E4BC-490E-ADCF-F4918A2173CE}"/>
                </c:ext>
              </c:extLst>
            </c:dLbl>
            <c:dLbl>
              <c:idx val="6"/>
              <c:layout>
                <c:manualLayout>
                  <c:x val="-4.370741500989829E-2"/>
                  <c:y val="-7.653085182534002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5-E4BC-490E-ADCF-F4918A2173CE}"/>
                </c:ext>
              </c:extLst>
            </c:dLbl>
            <c:dLbl>
              <c:idx val="7"/>
              <c:layout>
                <c:manualLayout>
                  <c:x val="-4.370741500989829E-2"/>
                  <c:y val="7.183278453829640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6-E4BC-490E-ADCF-F4918A2173CE}"/>
                </c:ext>
              </c:extLst>
            </c:dLbl>
            <c:dLbl>
              <c:idx val="8"/>
              <c:layout>
                <c:manualLayout>
                  <c:x val="-4.3707415009898186E-2"/>
                  <c:y val="-6.198539727988549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7-E4BC-490E-ADCF-F4918A2173CE}"/>
                </c:ext>
              </c:extLst>
            </c:dLbl>
            <c:dLbl>
              <c:idx val="9"/>
              <c:layout>
                <c:manualLayout>
                  <c:x val="-3.7321948837167669E-2"/>
                  <c:y val="-0.39071267000715826"/>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8-E4BC-490E-ADCF-F4918A2173CE}"/>
                </c:ext>
              </c:extLst>
            </c:dLbl>
            <c:dLbl>
              <c:idx val="10"/>
              <c:layout>
                <c:manualLayout>
                  <c:x val="-4.3707415009898186E-2"/>
                  <c:y val="-7.362176091624909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9-E4BC-490E-ADCF-F4918A2173CE}"/>
                </c:ext>
              </c:extLst>
            </c:dLbl>
            <c:dLbl>
              <c:idx val="11"/>
              <c:layout>
                <c:manualLayout>
                  <c:x val="-1.8975436522053673E-2"/>
                  <c:y val="8.056005726556897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A-E4BC-490E-ADCF-F4918A2173CE}"/>
                </c:ext>
              </c:extLst>
            </c:dLbl>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lt1">
                        <a:lumMod val="75000"/>
                      </a:schemeClr>
                    </a:solidFill>
                    <a:latin typeface="Angsana New" panose="02020603050405020304" pitchFamily="18" charset="-34"/>
                    <a:ea typeface="+mn-ea"/>
                    <a:cs typeface="Angsana New" panose="02020603050405020304" pitchFamily="18" charset="-34"/>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Pivot_Analysis!$AC$4:$AC$16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Pivot_Analysis!$AD$4:$AD$16</c:f>
              <c:numCache>
                <c:formatCode>"$"#,##0.00</c:formatCode>
                <c:ptCount val="12"/>
                <c:pt idx="0">
                  <c:v>41929.58</c:v>
                </c:pt>
                <c:pt idx="1">
                  <c:v>51792.209999999992</c:v>
                </c:pt>
                <c:pt idx="2">
                  <c:v>34611.56</c:v>
                </c:pt>
                <c:pt idx="3">
                  <c:v>44994.149999999994</c:v>
                </c:pt>
                <c:pt idx="4">
                  <c:v>45878.020000000004</c:v>
                </c:pt>
                <c:pt idx="5">
                  <c:v>18790.09</c:v>
                </c:pt>
                <c:pt idx="6">
                  <c:v>58481.259999999995</c:v>
                </c:pt>
                <c:pt idx="7">
                  <c:v>40455.1</c:v>
                </c:pt>
                <c:pt idx="8">
                  <c:v>51482.559999999998</c:v>
                </c:pt>
                <c:pt idx="9">
                  <c:v>4613.5</c:v>
                </c:pt>
                <c:pt idx="10">
                  <c:v>62235.53</c:v>
                </c:pt>
                <c:pt idx="11">
                  <c:v>9945.4199999999983</c:v>
                </c:pt>
              </c:numCache>
            </c:numRef>
          </c:val>
          <c:smooth val="0"/>
          <c:extLst>
            <c:ext xmlns:c16="http://schemas.microsoft.com/office/drawing/2014/chart" uri="{C3380CC4-5D6E-409C-BE32-E72D297353CC}">
              <c16:uniqueId val="{0000000D-E4BC-490E-ADCF-F4918A2173CE}"/>
            </c:ext>
          </c:extLst>
        </c:ser>
        <c:dLbls>
          <c:dLblPos val="t"/>
          <c:showLegendKey val="0"/>
          <c:showVal val="1"/>
          <c:showCatName val="0"/>
          <c:showSerName val="0"/>
          <c:showPercent val="0"/>
          <c:showBubbleSize val="0"/>
        </c:dLbls>
        <c:marker val="1"/>
        <c:smooth val="0"/>
        <c:axId val="1363099120"/>
        <c:axId val="1363087120"/>
      </c:lineChart>
      <c:catAx>
        <c:axId val="136309912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600" b="0" i="0" u="none" strike="noStrike" kern="1200" baseline="0">
                <a:solidFill>
                  <a:schemeClr val="lt1">
                    <a:lumMod val="75000"/>
                  </a:schemeClr>
                </a:solidFill>
                <a:latin typeface="Angsana New" panose="02020603050405020304" pitchFamily="18" charset="-34"/>
                <a:ea typeface="+mn-ea"/>
                <a:cs typeface="Angsana New" panose="02020603050405020304" pitchFamily="18" charset="-34"/>
              </a:defRPr>
            </a:pPr>
            <a:endParaRPr lang="en-US"/>
          </a:p>
        </c:txPr>
        <c:crossAx val="1363087120"/>
        <c:crosses val="autoZero"/>
        <c:auto val="1"/>
        <c:lblAlgn val="ctr"/>
        <c:lblOffset val="100"/>
        <c:noMultiLvlLbl val="0"/>
      </c:catAx>
      <c:valAx>
        <c:axId val="1363087120"/>
        <c:scaling>
          <c:orientation val="minMax"/>
        </c:scaling>
        <c:delete val="0"/>
        <c:axPos val="l"/>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1600" b="0" i="0" u="none" strike="noStrike" kern="1200" baseline="0">
                <a:solidFill>
                  <a:schemeClr val="lt1">
                    <a:lumMod val="75000"/>
                  </a:schemeClr>
                </a:solidFill>
                <a:latin typeface="Angsana New" panose="02020603050405020304" pitchFamily="18" charset="-34"/>
                <a:ea typeface="+mn-ea"/>
                <a:cs typeface="Angsana New" panose="02020603050405020304" pitchFamily="18" charset="-34"/>
              </a:defRPr>
            </a:pPr>
            <a:endParaRPr lang="en-US"/>
          </a:p>
        </c:txPr>
        <c:crossAx val="13630991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noFill/>
      <a:round/>
    </a:ln>
    <a:effectLst/>
  </c:spPr>
  <c:txPr>
    <a:bodyPr/>
    <a:lstStyle/>
    <a:p>
      <a:pPr>
        <a:defRPr sz="1600">
          <a:latin typeface="Angsana New" panose="02020603050405020304" pitchFamily="18" charset="-34"/>
          <a:cs typeface="Angsana New" panose="02020603050405020304" pitchFamily="18" charset="-34"/>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[Supply_Chain_Orders_Dashboard.xlsx]Pivot_Analysis!PivotTable11</c:name>
    <c:fmtId val="27"/>
  </c:pivotSource>
  <c:chart>
    <c:title>
      <c:tx>
        <c:rich>
          <a:bodyPr rot="0" spcFirstLastPara="1" vertOverflow="ellipsis" vert="horz" wrap="square" anchor="ctr" anchorCtr="1"/>
          <a:lstStyle/>
          <a:p>
            <a:pPr>
              <a:defRPr sz="1920" b="1" i="0" u="none" strike="noStrike" kern="1200" spc="100" baseline="0">
                <a:solidFill>
                  <a:schemeClr val="lt1">
                    <a:lumMod val="95000"/>
                  </a:schemeClr>
                </a:solidFill>
                <a:effectLst>
                  <a:outerShdw blurRad="50800" dist="38100" dir="5400000" algn="t" rotWithShape="0">
                    <a:prstClr val="black">
                      <a:alpha val="40000"/>
                    </a:prstClr>
                  </a:outerShdw>
                </a:effectLst>
                <a:latin typeface="Angsana New" panose="02020603050405020304" pitchFamily="18" charset="-34"/>
                <a:ea typeface="+mn-ea"/>
                <a:cs typeface="Angsana New" panose="02020603050405020304" pitchFamily="18" charset="-34"/>
              </a:defRPr>
            </a:pPr>
            <a:r>
              <a:rPr lang="en-US"/>
              <a:t>Total Sales by Product</a:t>
            </a:r>
          </a:p>
        </c:rich>
      </c:tx>
      <c:overlay val="0"/>
      <c:spPr>
        <a:noFill/>
        <a:ln>
          <a:noFill/>
        </a:ln>
        <a:effectLst/>
      </c:spPr>
      <c:txPr>
        <a:bodyPr rot="0" spcFirstLastPara="1" vertOverflow="ellipsis" vert="horz" wrap="square" anchor="ctr" anchorCtr="1"/>
        <a:lstStyle/>
        <a:p>
          <a:pPr>
            <a:defRPr sz="1920" b="1" i="0" u="none" strike="noStrike" kern="1200" spc="100" baseline="0">
              <a:solidFill>
                <a:schemeClr val="lt1">
                  <a:lumMod val="95000"/>
                </a:schemeClr>
              </a:solidFill>
              <a:effectLst>
                <a:outerShdw blurRad="50800" dist="38100" dir="5400000" algn="t" rotWithShape="0">
                  <a:prstClr val="black">
                    <a:alpha val="40000"/>
                  </a:prstClr>
                </a:outerShdw>
              </a:effectLst>
              <a:latin typeface="Angsana New" panose="02020603050405020304" pitchFamily="18" charset="-34"/>
              <a:ea typeface="+mn-ea"/>
              <a:cs typeface="Angsana New" panose="02020603050405020304" pitchFamily="18" charset="-34"/>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diamond"/>
          <c:size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lt1">
                      <a:lumMod val="85000"/>
                    </a:schemeClr>
                  </a:solidFill>
                  <a:latin typeface="Angsana New" panose="02020603050405020304" pitchFamily="18" charset="-34"/>
                  <a:ea typeface="+mn-ea"/>
                  <a:cs typeface="Angsana New" panose="02020603050405020304" pitchFamily="18" charset="-34"/>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lt1">
                      <a:lumMod val="85000"/>
                    </a:schemeClr>
                  </a:solidFill>
                  <a:latin typeface="Angsana New" panose="02020603050405020304" pitchFamily="18" charset="-34"/>
                  <a:ea typeface="+mn-ea"/>
                  <a:cs typeface="Angsana New" panose="02020603050405020304" pitchFamily="18" charset="-34"/>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lt1">
                      <a:lumMod val="85000"/>
                    </a:schemeClr>
                  </a:solidFill>
                  <a:latin typeface="Angsana New" panose="02020603050405020304" pitchFamily="18" charset="-34"/>
                  <a:ea typeface="+mn-ea"/>
                  <a:cs typeface="Angsana New" panose="02020603050405020304" pitchFamily="18" charset="-34"/>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lt1">
                      <a:lumMod val="85000"/>
                    </a:schemeClr>
                  </a:solidFill>
                  <a:latin typeface="Angsana New" panose="02020603050405020304" pitchFamily="18" charset="-34"/>
                  <a:ea typeface="+mn-ea"/>
                  <a:cs typeface="Angsana New" panose="02020603050405020304" pitchFamily="18" charset="-34"/>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lt1">
                      <a:lumMod val="85000"/>
                    </a:schemeClr>
                  </a:solidFill>
                  <a:latin typeface="Angsana New" panose="02020603050405020304" pitchFamily="18" charset="-34"/>
                  <a:ea typeface="+mn-ea"/>
                  <a:cs typeface="Angsana New" panose="02020603050405020304" pitchFamily="18" charset="-34"/>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Pivot_Analysis!$B$23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lt1">
                        <a:lumMod val="85000"/>
                      </a:schemeClr>
                    </a:solidFill>
                    <a:latin typeface="Angsana New" panose="02020603050405020304" pitchFamily="18" charset="-34"/>
                    <a:ea typeface="+mn-ea"/>
                    <a:cs typeface="Angsana New" panose="02020603050405020304" pitchFamily="18" charset="-34"/>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Pivot_Analysis!$A$24:$A$34</c:f>
              <c:strCache>
                <c:ptCount val="10"/>
                <c:pt idx="0">
                  <c:v>Desk Lamp</c:v>
                </c:pt>
                <c:pt idx="1">
                  <c:v>HDMI Cable</c:v>
                </c:pt>
                <c:pt idx="2">
                  <c:v>Laptop Stand</c:v>
                </c:pt>
                <c:pt idx="3">
                  <c:v>Mechanical Keyboard</c:v>
                </c:pt>
                <c:pt idx="4">
                  <c:v>Monitor Arm</c:v>
                </c:pt>
                <c:pt idx="5">
                  <c:v>Office Chair</c:v>
                </c:pt>
                <c:pt idx="6">
                  <c:v>Power Bank</c:v>
                </c:pt>
                <c:pt idx="7">
                  <c:v>USB Hub</c:v>
                </c:pt>
                <c:pt idx="8">
                  <c:v>Webcam HD</c:v>
                </c:pt>
                <c:pt idx="9">
                  <c:v>Wireless Mouse</c:v>
                </c:pt>
              </c:strCache>
            </c:strRef>
          </c:cat>
          <c:val>
            <c:numRef>
              <c:f>Pivot_Analysis!$B$24:$B$34</c:f>
              <c:numCache>
                <c:formatCode>"$"#,##0.00</c:formatCode>
                <c:ptCount val="10"/>
                <c:pt idx="0">
                  <c:v>22940.54</c:v>
                </c:pt>
                <c:pt idx="1">
                  <c:v>36636.47</c:v>
                </c:pt>
                <c:pt idx="2">
                  <c:v>33972.69</c:v>
                </c:pt>
                <c:pt idx="3">
                  <c:v>59442.68</c:v>
                </c:pt>
                <c:pt idx="4">
                  <c:v>37901.560000000005</c:v>
                </c:pt>
                <c:pt idx="5">
                  <c:v>69670.8</c:v>
                </c:pt>
                <c:pt idx="6">
                  <c:v>34376.289999999994</c:v>
                </c:pt>
                <c:pt idx="7">
                  <c:v>58367.409999999989</c:v>
                </c:pt>
                <c:pt idx="8">
                  <c:v>41460.35</c:v>
                </c:pt>
                <c:pt idx="9">
                  <c:v>39755.689999999995</c:v>
                </c:pt>
              </c:numCache>
            </c:numRef>
          </c:val>
          <c:extLst>
            <c:ext xmlns:c16="http://schemas.microsoft.com/office/drawing/2014/chart" uri="{C3380CC4-5D6E-409C-BE32-E72D297353CC}">
              <c16:uniqueId val="{00000000-22AD-4A22-8D7A-1BBAB7D71C9F}"/>
            </c:ext>
          </c:extLst>
        </c:ser>
        <c:dLbls>
          <c:dLblPos val="outEnd"/>
          <c:showLegendKey val="0"/>
          <c:showVal val="1"/>
          <c:showCatName val="0"/>
          <c:showSerName val="0"/>
          <c:showPercent val="0"/>
          <c:showBubbleSize val="0"/>
        </c:dLbls>
        <c:gapWidth val="115"/>
        <c:overlap val="-20"/>
        <c:axId val="150373391"/>
        <c:axId val="150373871"/>
      </c:barChart>
      <c:catAx>
        <c:axId val="150373391"/>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1200" b="0" i="0" u="none" strike="noStrike" kern="1200" baseline="0">
                <a:solidFill>
                  <a:schemeClr val="lt1">
                    <a:lumMod val="85000"/>
                  </a:schemeClr>
                </a:solidFill>
                <a:latin typeface="Angsana New" panose="02020603050405020304" pitchFamily="18" charset="-34"/>
                <a:ea typeface="+mn-ea"/>
                <a:cs typeface="Angsana New" panose="02020603050405020304" pitchFamily="18" charset="-34"/>
              </a:defRPr>
            </a:pPr>
            <a:endParaRPr lang="en-US"/>
          </a:p>
        </c:txPr>
        <c:crossAx val="150373871"/>
        <c:crosses val="autoZero"/>
        <c:auto val="1"/>
        <c:lblAlgn val="ctr"/>
        <c:lblOffset val="100"/>
        <c:noMultiLvlLbl val="0"/>
      </c:catAx>
      <c:valAx>
        <c:axId val="150373871"/>
        <c:scaling>
          <c:orientation val="minMax"/>
        </c:scaling>
        <c:delete val="0"/>
        <c:axPos val="b"/>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1600" b="0" i="0" u="none" strike="noStrike" kern="1200" baseline="0">
                <a:solidFill>
                  <a:schemeClr val="lt1">
                    <a:lumMod val="85000"/>
                  </a:schemeClr>
                </a:solidFill>
                <a:latin typeface="Angsana New" panose="02020603050405020304" pitchFamily="18" charset="-34"/>
                <a:ea typeface="+mn-ea"/>
                <a:cs typeface="Angsana New" panose="02020603050405020304" pitchFamily="18" charset="-34"/>
              </a:defRPr>
            </a:pPr>
            <a:endParaRPr lang="en-US"/>
          </a:p>
        </c:txPr>
        <c:crossAx val="1503733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sz="1600">
          <a:latin typeface="Angsana New" panose="02020603050405020304" pitchFamily="18" charset="-34"/>
          <a:cs typeface="Angsana New" panose="02020603050405020304" pitchFamily="18" charset="-34"/>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25</xdr:col>
      <xdr:colOff>11430</xdr:colOff>
      <xdr:row>16</xdr:row>
      <xdr:rowOff>80010</xdr:rowOff>
    </xdr:from>
    <xdr:to>
      <xdr:col>34</xdr:col>
      <xdr:colOff>403860</xdr:colOff>
      <xdr:row>27</xdr:row>
      <xdr:rowOff>34290</xdr:rowOff>
    </xdr:to>
    <xdr:graphicFrame macro="">
      <xdr:nvGraphicFramePr>
        <xdr:cNvPr id="2" name="Chart 1">
          <a:extLst>
            <a:ext uri="{FF2B5EF4-FFF2-40B4-BE49-F238E27FC236}">
              <a16:creationId xmlns:a16="http://schemas.microsoft.com/office/drawing/2014/main" id="{349FD4CF-6233-D11B-A181-1D59F7A8E1D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35</xdr:col>
      <xdr:colOff>10584</xdr:colOff>
      <xdr:row>13</xdr:row>
      <xdr:rowOff>115357</xdr:rowOff>
    </xdr:from>
    <xdr:to>
      <xdr:col>49</xdr:col>
      <xdr:colOff>381000</xdr:colOff>
      <xdr:row>29</xdr:row>
      <xdr:rowOff>238125</xdr:rowOff>
    </xdr:to>
    <xdr:graphicFrame macro="">
      <xdr:nvGraphicFramePr>
        <xdr:cNvPr id="3" name="Chart 2">
          <a:extLst>
            <a:ext uri="{FF2B5EF4-FFF2-40B4-BE49-F238E27FC236}">
              <a16:creationId xmlns:a16="http://schemas.microsoft.com/office/drawing/2014/main" id="{95118A3F-6C61-B1DC-27DB-7D59C23C64D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50</xdr:col>
      <xdr:colOff>298979</xdr:colOff>
      <xdr:row>12</xdr:row>
      <xdr:rowOff>279401</xdr:rowOff>
    </xdr:from>
    <xdr:to>
      <xdr:col>63</xdr:col>
      <xdr:colOff>423333</xdr:colOff>
      <xdr:row>29</xdr:row>
      <xdr:rowOff>280458</xdr:rowOff>
    </xdr:to>
    <xdr:graphicFrame macro="">
      <xdr:nvGraphicFramePr>
        <xdr:cNvPr id="4" name="Chart 3">
          <a:extLst>
            <a:ext uri="{FF2B5EF4-FFF2-40B4-BE49-F238E27FC236}">
              <a16:creationId xmlns:a16="http://schemas.microsoft.com/office/drawing/2014/main" id="{0D0651E7-40AF-B0C2-4682-171A37787EB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290285</xdr:colOff>
      <xdr:row>20</xdr:row>
      <xdr:rowOff>90714</xdr:rowOff>
    </xdr:from>
    <xdr:to>
      <xdr:col>12</xdr:col>
      <xdr:colOff>30238</xdr:colOff>
      <xdr:row>37</xdr:row>
      <xdr:rowOff>296334</xdr:rowOff>
    </xdr:to>
    <xdr:graphicFrame macro="">
      <xdr:nvGraphicFramePr>
        <xdr:cNvPr id="6" name="Chart 5">
          <a:extLst>
            <a:ext uri="{FF2B5EF4-FFF2-40B4-BE49-F238E27FC236}">
              <a16:creationId xmlns:a16="http://schemas.microsoft.com/office/drawing/2014/main" id="{07EA0A97-CF41-4AAE-A26B-37371E7B96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31961</xdr:colOff>
      <xdr:row>0</xdr:row>
      <xdr:rowOff>91653</xdr:rowOff>
    </xdr:from>
    <xdr:to>
      <xdr:col>30</xdr:col>
      <xdr:colOff>560916</xdr:colOff>
      <xdr:row>45</xdr:row>
      <xdr:rowOff>89958</xdr:rowOff>
    </xdr:to>
    <xdr:grpSp>
      <xdr:nvGrpSpPr>
        <xdr:cNvPr id="4" name="Group 3">
          <a:extLst>
            <a:ext uri="{FF2B5EF4-FFF2-40B4-BE49-F238E27FC236}">
              <a16:creationId xmlns:a16="http://schemas.microsoft.com/office/drawing/2014/main" id="{C898DFCD-C5B9-4160-3D9D-7873DD401280}"/>
            </a:ext>
          </a:extLst>
        </xdr:cNvPr>
        <xdr:cNvGrpSpPr/>
      </xdr:nvGrpSpPr>
      <xdr:grpSpPr>
        <a:xfrm>
          <a:off x="31961" y="91653"/>
          <a:ext cx="19737705" cy="8332680"/>
          <a:chOff x="31961" y="91653"/>
          <a:chExt cx="19737705" cy="8332680"/>
        </a:xfrm>
      </xdr:grpSpPr>
      <xdr:sp macro="" textlink="">
        <xdr:nvSpPr>
          <xdr:cNvPr id="2" name="Rectangle: Rounded Corners 1">
            <a:extLst>
              <a:ext uri="{FF2B5EF4-FFF2-40B4-BE49-F238E27FC236}">
                <a16:creationId xmlns:a16="http://schemas.microsoft.com/office/drawing/2014/main" id="{891B155B-D82E-597B-554E-50D306E239B6}"/>
              </a:ext>
            </a:extLst>
          </xdr:cNvPr>
          <xdr:cNvSpPr/>
        </xdr:nvSpPr>
        <xdr:spPr>
          <a:xfrm>
            <a:off x="31961" y="91653"/>
            <a:ext cx="19737705" cy="8332680"/>
          </a:xfrm>
          <a:prstGeom prst="roundRect">
            <a:avLst>
              <a:gd name="adj" fmla="val 6152"/>
            </a:avLst>
          </a:prstGeom>
          <a:solidFill>
            <a:schemeClr val="tx1">
              <a:lumMod val="85000"/>
              <a:lumOff val="1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nvGrpSpPr>
          <xdr:cNvPr id="7" name="Group 6">
            <a:extLst>
              <a:ext uri="{FF2B5EF4-FFF2-40B4-BE49-F238E27FC236}">
                <a16:creationId xmlns:a16="http://schemas.microsoft.com/office/drawing/2014/main" id="{228E4C58-21C2-F99C-23FD-346174351BFD}"/>
              </a:ext>
            </a:extLst>
          </xdr:cNvPr>
          <xdr:cNvGrpSpPr/>
        </xdr:nvGrpSpPr>
        <xdr:grpSpPr>
          <a:xfrm>
            <a:off x="196320" y="423334"/>
            <a:ext cx="2160059" cy="1111249"/>
            <a:chOff x="242357" y="423334"/>
            <a:chExt cx="2160059" cy="1111249"/>
          </a:xfrm>
          <a:solidFill>
            <a:schemeClr val="tx1">
              <a:lumMod val="75000"/>
              <a:lumOff val="25000"/>
            </a:schemeClr>
          </a:solidFill>
        </xdr:grpSpPr>
        <xdr:sp macro="" textlink="">
          <xdr:nvSpPr>
            <xdr:cNvPr id="3" name="Rectangle 2">
              <a:extLst>
                <a:ext uri="{FF2B5EF4-FFF2-40B4-BE49-F238E27FC236}">
                  <a16:creationId xmlns:a16="http://schemas.microsoft.com/office/drawing/2014/main" id="{0C584105-51BA-59FC-987B-52A8C264D574}"/>
                </a:ext>
              </a:extLst>
            </xdr:cNvPr>
            <xdr:cNvSpPr/>
          </xdr:nvSpPr>
          <xdr:spPr>
            <a:xfrm>
              <a:off x="253999" y="423334"/>
              <a:ext cx="2148417" cy="1111249"/>
            </a:xfrm>
            <a:prstGeom prst="rect">
              <a:avLst/>
            </a:prstGeom>
            <a:grpFill/>
            <a:ln/>
          </xdr:spPr>
          <xdr:style>
            <a:lnRef idx="0">
              <a:schemeClr val="accent5"/>
            </a:lnRef>
            <a:fillRef idx="3">
              <a:schemeClr val="accent5"/>
            </a:fillRef>
            <a:effectRef idx="3">
              <a:schemeClr val="accent5"/>
            </a:effectRef>
            <a:fontRef idx="minor">
              <a:schemeClr val="lt1"/>
            </a:fontRef>
          </xdr:style>
          <xdr:txBody>
            <a:bodyPr vertOverflow="clip" horzOverflow="clip" rtlCol="0" anchor="t"/>
            <a:lstStyle/>
            <a:p>
              <a:pPr algn="ctr"/>
              <a:r>
                <a:rPr lang="en-US" sz="2800" b="1">
                  <a:latin typeface="Angsana New" panose="02020603050405020304" pitchFamily="18" charset="-34"/>
                  <a:cs typeface="Angsana New" panose="02020603050405020304" pitchFamily="18" charset="-34"/>
                </a:rPr>
                <a:t>Total Revenue</a:t>
              </a:r>
            </a:p>
            <a:p>
              <a:pPr algn="ctr"/>
              <a:r>
                <a:rPr lang="en-US" sz="2800" b="1">
                  <a:latin typeface="Angsana New" panose="02020603050405020304" pitchFamily="18" charset="-34"/>
                  <a:cs typeface="Angsana New" panose="02020603050405020304" pitchFamily="18" charset="-34"/>
                </a:rPr>
                <a:t> </a:t>
              </a:r>
            </a:p>
          </xdr:txBody>
        </xdr:sp>
        <xdr:sp macro="" textlink="Pivot_Analysis!U4">
          <xdr:nvSpPr>
            <xdr:cNvPr id="6" name="Rectangle 5">
              <a:extLst>
                <a:ext uri="{FF2B5EF4-FFF2-40B4-BE49-F238E27FC236}">
                  <a16:creationId xmlns:a16="http://schemas.microsoft.com/office/drawing/2014/main" id="{72B273F5-223E-4539-B225-6E87549C8061}"/>
                </a:ext>
              </a:extLst>
            </xdr:cNvPr>
            <xdr:cNvSpPr/>
          </xdr:nvSpPr>
          <xdr:spPr>
            <a:xfrm>
              <a:off x="242357" y="1036110"/>
              <a:ext cx="2148417" cy="466724"/>
            </a:xfrm>
            <a:prstGeom prst="rect">
              <a:avLst/>
            </a:prstGeom>
            <a:grpFill/>
            <a:ln/>
          </xdr:spPr>
          <xdr:style>
            <a:lnRef idx="0">
              <a:schemeClr val="accent5"/>
            </a:lnRef>
            <a:fillRef idx="3">
              <a:schemeClr val="accent5"/>
            </a:fillRef>
            <a:effectRef idx="3">
              <a:schemeClr val="accent5"/>
            </a:effectRef>
            <a:fontRef idx="minor">
              <a:schemeClr val="lt1"/>
            </a:fontRef>
          </xdr:style>
          <xdr:txBody>
            <a:bodyPr vertOverflow="clip" horzOverflow="clip" rtlCol="0" anchor="t"/>
            <a:lstStyle/>
            <a:p>
              <a:pPr algn="ctr"/>
              <a:fld id="{7F7F50FA-BED3-4006-A7F5-772B6E7D6FE0}" type="TxLink">
                <a:rPr lang="en-US" sz="2800" b="0" i="0" u="none" strike="noStrike">
                  <a:solidFill>
                    <a:schemeClr val="bg1"/>
                  </a:solidFill>
                  <a:latin typeface="Angsana New"/>
                  <a:cs typeface="Angsana New"/>
                </a:rPr>
                <a:pPr algn="ctr"/>
                <a:t>$465,208.98</a:t>
              </a:fld>
              <a:endParaRPr lang="en-US" sz="3600">
                <a:solidFill>
                  <a:schemeClr val="bg1"/>
                </a:solidFill>
                <a:latin typeface="Angsana New" panose="02020603050405020304" pitchFamily="18" charset="-34"/>
                <a:cs typeface="Angsana New" panose="02020603050405020304" pitchFamily="18" charset="-34"/>
              </a:endParaRPr>
            </a:p>
          </xdr:txBody>
        </xdr:sp>
      </xdr:grpSp>
      <xdr:grpSp>
        <xdr:nvGrpSpPr>
          <xdr:cNvPr id="9" name="Group 8">
            <a:extLst>
              <a:ext uri="{FF2B5EF4-FFF2-40B4-BE49-F238E27FC236}">
                <a16:creationId xmlns:a16="http://schemas.microsoft.com/office/drawing/2014/main" id="{037BBFBD-AAE6-45E1-94A5-27AAF8A9C3D4}"/>
              </a:ext>
            </a:extLst>
          </xdr:cNvPr>
          <xdr:cNvGrpSpPr/>
        </xdr:nvGrpSpPr>
        <xdr:grpSpPr>
          <a:xfrm>
            <a:off x="196320" y="1921581"/>
            <a:ext cx="2160059" cy="1111249"/>
            <a:chOff x="242357" y="423334"/>
            <a:chExt cx="2160059" cy="1111249"/>
          </a:xfrm>
          <a:solidFill>
            <a:schemeClr val="tx1">
              <a:lumMod val="75000"/>
              <a:lumOff val="25000"/>
            </a:schemeClr>
          </a:solidFill>
        </xdr:grpSpPr>
        <xdr:sp macro="" textlink="">
          <xdr:nvSpPr>
            <xdr:cNvPr id="10" name="Rectangle 9">
              <a:extLst>
                <a:ext uri="{FF2B5EF4-FFF2-40B4-BE49-F238E27FC236}">
                  <a16:creationId xmlns:a16="http://schemas.microsoft.com/office/drawing/2014/main" id="{B10FCEB1-4A73-2B91-BE4E-CA380858B22F}"/>
                </a:ext>
              </a:extLst>
            </xdr:cNvPr>
            <xdr:cNvSpPr/>
          </xdr:nvSpPr>
          <xdr:spPr>
            <a:xfrm>
              <a:off x="253999" y="423334"/>
              <a:ext cx="2148417" cy="1111249"/>
            </a:xfrm>
            <a:prstGeom prst="rect">
              <a:avLst/>
            </a:prstGeom>
            <a:grpFill/>
            <a:ln/>
          </xdr:spPr>
          <xdr:style>
            <a:lnRef idx="0">
              <a:schemeClr val="accent5"/>
            </a:lnRef>
            <a:fillRef idx="3">
              <a:schemeClr val="accent5"/>
            </a:fillRef>
            <a:effectRef idx="3">
              <a:schemeClr val="accent5"/>
            </a:effectRef>
            <a:fontRef idx="minor">
              <a:schemeClr val="lt1"/>
            </a:fontRef>
          </xdr:style>
          <xdr:txBody>
            <a:bodyPr vertOverflow="clip" horzOverflow="clip" rtlCol="0" anchor="t"/>
            <a:lstStyle/>
            <a:p>
              <a:pPr algn="ctr"/>
              <a:r>
                <a:rPr lang="en-US" sz="2800" b="1">
                  <a:latin typeface="Angsana New" panose="02020603050405020304" pitchFamily="18" charset="-34"/>
                  <a:cs typeface="Angsana New" panose="02020603050405020304" pitchFamily="18" charset="-34"/>
                </a:rPr>
                <a:t>Total Quantity </a:t>
              </a:r>
            </a:p>
          </xdr:txBody>
        </xdr:sp>
        <xdr:sp macro="" textlink="Pivot_Analysis!W4">
          <xdr:nvSpPr>
            <xdr:cNvPr id="11" name="Rectangle 10">
              <a:extLst>
                <a:ext uri="{FF2B5EF4-FFF2-40B4-BE49-F238E27FC236}">
                  <a16:creationId xmlns:a16="http://schemas.microsoft.com/office/drawing/2014/main" id="{6D4C045C-7D6B-2CF6-810C-521AC0E6C042}"/>
                </a:ext>
              </a:extLst>
            </xdr:cNvPr>
            <xdr:cNvSpPr/>
          </xdr:nvSpPr>
          <xdr:spPr>
            <a:xfrm>
              <a:off x="242357" y="1036110"/>
              <a:ext cx="2148417" cy="466724"/>
            </a:xfrm>
            <a:prstGeom prst="rect">
              <a:avLst/>
            </a:prstGeom>
            <a:grpFill/>
            <a:ln/>
          </xdr:spPr>
          <xdr:style>
            <a:lnRef idx="0">
              <a:schemeClr val="accent5"/>
            </a:lnRef>
            <a:fillRef idx="3">
              <a:schemeClr val="accent5"/>
            </a:fillRef>
            <a:effectRef idx="3">
              <a:schemeClr val="accent5"/>
            </a:effectRef>
            <a:fontRef idx="minor">
              <a:schemeClr val="lt1"/>
            </a:fontRef>
          </xdr:style>
          <xdr:txBody>
            <a:bodyPr vertOverflow="clip" horzOverflow="clip" rtlCol="0" anchor="t"/>
            <a:lstStyle/>
            <a:p>
              <a:pPr algn="ctr"/>
              <a:fld id="{8D87AFE1-E1C5-4344-8155-2D83BFCFA67B}" type="TxLink">
                <a:rPr lang="en-US" sz="2800" b="0" i="0" u="none" strike="noStrike">
                  <a:solidFill>
                    <a:schemeClr val="bg1"/>
                  </a:solidFill>
                  <a:latin typeface="Angsana New"/>
                  <a:cs typeface="Angsana New"/>
                </a:rPr>
                <a:pPr algn="ctr"/>
                <a:t>1,971</a:t>
              </a:fld>
              <a:endParaRPr lang="en-US" sz="3600">
                <a:solidFill>
                  <a:schemeClr val="bg1"/>
                </a:solidFill>
                <a:latin typeface="Angsana New" panose="02020603050405020304" pitchFamily="18" charset="-34"/>
                <a:cs typeface="Angsana New" panose="02020603050405020304" pitchFamily="18" charset="-34"/>
              </a:endParaRPr>
            </a:p>
          </xdr:txBody>
        </xdr:sp>
      </xdr:grpSp>
      <xdr:grpSp>
        <xdr:nvGrpSpPr>
          <xdr:cNvPr id="12" name="Group 11">
            <a:extLst>
              <a:ext uri="{FF2B5EF4-FFF2-40B4-BE49-F238E27FC236}">
                <a16:creationId xmlns:a16="http://schemas.microsoft.com/office/drawing/2014/main" id="{352EED40-52B6-4CF2-9FB9-31A00399D7B0}"/>
              </a:ext>
            </a:extLst>
          </xdr:cNvPr>
          <xdr:cNvGrpSpPr/>
        </xdr:nvGrpSpPr>
        <xdr:grpSpPr>
          <a:xfrm>
            <a:off x="196320" y="3419828"/>
            <a:ext cx="2160059" cy="1111249"/>
            <a:chOff x="242357" y="423334"/>
            <a:chExt cx="2160059" cy="1111249"/>
          </a:xfrm>
          <a:solidFill>
            <a:schemeClr val="tx1">
              <a:lumMod val="75000"/>
              <a:lumOff val="25000"/>
            </a:schemeClr>
          </a:solidFill>
        </xdr:grpSpPr>
        <xdr:sp macro="" textlink="">
          <xdr:nvSpPr>
            <xdr:cNvPr id="13" name="Rectangle 12">
              <a:extLst>
                <a:ext uri="{FF2B5EF4-FFF2-40B4-BE49-F238E27FC236}">
                  <a16:creationId xmlns:a16="http://schemas.microsoft.com/office/drawing/2014/main" id="{3F9FA890-B5EF-DEB2-3259-99392DD8BA47}"/>
                </a:ext>
              </a:extLst>
            </xdr:cNvPr>
            <xdr:cNvSpPr/>
          </xdr:nvSpPr>
          <xdr:spPr>
            <a:xfrm>
              <a:off x="253999" y="423334"/>
              <a:ext cx="2148417" cy="1111249"/>
            </a:xfrm>
            <a:prstGeom prst="rect">
              <a:avLst/>
            </a:prstGeom>
            <a:grpFill/>
            <a:ln/>
          </xdr:spPr>
          <xdr:style>
            <a:lnRef idx="0">
              <a:schemeClr val="accent5"/>
            </a:lnRef>
            <a:fillRef idx="3">
              <a:schemeClr val="accent5"/>
            </a:fillRef>
            <a:effectRef idx="3">
              <a:schemeClr val="accent5"/>
            </a:effectRef>
            <a:fontRef idx="minor">
              <a:schemeClr val="lt1"/>
            </a:fontRef>
          </xdr:style>
          <xdr:txBody>
            <a:bodyPr vertOverflow="clip" horzOverflow="clip" rtlCol="0" anchor="t"/>
            <a:lstStyle/>
            <a:p>
              <a:pPr algn="ctr"/>
              <a:r>
                <a:rPr lang="en-US" sz="2800" b="1">
                  <a:latin typeface="Angsana New" panose="02020603050405020304" pitchFamily="18" charset="-34"/>
                  <a:cs typeface="Angsana New" panose="02020603050405020304" pitchFamily="18" charset="-34"/>
                </a:rPr>
                <a:t>Number of Orders </a:t>
              </a:r>
            </a:p>
          </xdr:txBody>
        </xdr:sp>
        <xdr:sp macro="" textlink="Pivot_Analysis!V4">
          <xdr:nvSpPr>
            <xdr:cNvPr id="14" name="Rectangle 13">
              <a:extLst>
                <a:ext uri="{FF2B5EF4-FFF2-40B4-BE49-F238E27FC236}">
                  <a16:creationId xmlns:a16="http://schemas.microsoft.com/office/drawing/2014/main" id="{797F7E92-D1EF-D166-2667-824C72AE7654}"/>
                </a:ext>
              </a:extLst>
            </xdr:cNvPr>
            <xdr:cNvSpPr/>
          </xdr:nvSpPr>
          <xdr:spPr>
            <a:xfrm>
              <a:off x="242357" y="1036110"/>
              <a:ext cx="2148417" cy="466724"/>
            </a:xfrm>
            <a:prstGeom prst="rect">
              <a:avLst/>
            </a:prstGeom>
            <a:grpFill/>
            <a:ln/>
          </xdr:spPr>
          <xdr:style>
            <a:lnRef idx="0">
              <a:schemeClr val="accent5"/>
            </a:lnRef>
            <a:fillRef idx="3">
              <a:schemeClr val="accent5"/>
            </a:fillRef>
            <a:effectRef idx="3">
              <a:schemeClr val="accent5"/>
            </a:effectRef>
            <a:fontRef idx="minor">
              <a:schemeClr val="lt1"/>
            </a:fontRef>
          </xdr:style>
          <xdr:txBody>
            <a:bodyPr vertOverflow="clip" horzOverflow="clip" rtlCol="0" anchor="t"/>
            <a:lstStyle/>
            <a:p>
              <a:pPr algn="ctr"/>
              <a:fld id="{BDACFFE1-ED01-4824-B93D-3598F646E050}" type="TxLink">
                <a:rPr lang="en-US" sz="2800" b="0" i="0" u="none" strike="noStrike">
                  <a:solidFill>
                    <a:schemeClr val="bg1"/>
                  </a:solidFill>
                  <a:latin typeface="Angsana New"/>
                  <a:cs typeface="Angsana New"/>
                </a:rPr>
                <a:pPr algn="ctr"/>
                <a:t>100</a:t>
              </a:fld>
              <a:endParaRPr lang="en-US" sz="3600">
                <a:solidFill>
                  <a:schemeClr val="bg1"/>
                </a:solidFill>
                <a:latin typeface="Angsana New" panose="02020603050405020304" pitchFamily="18" charset="-34"/>
                <a:cs typeface="Angsana New" panose="02020603050405020304" pitchFamily="18" charset="-34"/>
              </a:endParaRPr>
            </a:p>
          </xdr:txBody>
        </xdr:sp>
      </xdr:grpSp>
      <xdr:grpSp>
        <xdr:nvGrpSpPr>
          <xdr:cNvPr id="15" name="Group 14">
            <a:extLst>
              <a:ext uri="{FF2B5EF4-FFF2-40B4-BE49-F238E27FC236}">
                <a16:creationId xmlns:a16="http://schemas.microsoft.com/office/drawing/2014/main" id="{B9229C15-5D20-4F6F-B18F-BF20923D3AE0}"/>
              </a:ext>
            </a:extLst>
          </xdr:cNvPr>
          <xdr:cNvGrpSpPr/>
        </xdr:nvGrpSpPr>
        <xdr:grpSpPr>
          <a:xfrm>
            <a:off x="196320" y="4918076"/>
            <a:ext cx="2160059" cy="1111249"/>
            <a:chOff x="242357" y="423334"/>
            <a:chExt cx="2160059" cy="1111249"/>
          </a:xfrm>
          <a:solidFill>
            <a:schemeClr val="tx1">
              <a:lumMod val="75000"/>
              <a:lumOff val="25000"/>
            </a:schemeClr>
          </a:solidFill>
        </xdr:grpSpPr>
        <xdr:sp macro="" textlink="">
          <xdr:nvSpPr>
            <xdr:cNvPr id="16" name="Rectangle 15">
              <a:extLst>
                <a:ext uri="{FF2B5EF4-FFF2-40B4-BE49-F238E27FC236}">
                  <a16:creationId xmlns:a16="http://schemas.microsoft.com/office/drawing/2014/main" id="{A4A54196-66F4-2966-FFA8-96D2B0113363}"/>
                </a:ext>
              </a:extLst>
            </xdr:cNvPr>
            <xdr:cNvSpPr/>
          </xdr:nvSpPr>
          <xdr:spPr>
            <a:xfrm>
              <a:off x="253999" y="423334"/>
              <a:ext cx="2148417" cy="1111249"/>
            </a:xfrm>
            <a:prstGeom prst="rect">
              <a:avLst/>
            </a:prstGeom>
            <a:grpFill/>
            <a:ln/>
          </xdr:spPr>
          <xdr:style>
            <a:lnRef idx="0">
              <a:schemeClr val="accent5"/>
            </a:lnRef>
            <a:fillRef idx="3">
              <a:schemeClr val="accent5"/>
            </a:fillRef>
            <a:effectRef idx="3">
              <a:schemeClr val="accent5"/>
            </a:effectRef>
            <a:fontRef idx="minor">
              <a:schemeClr val="lt1"/>
            </a:fontRef>
          </xdr:style>
          <xdr:txBody>
            <a:bodyPr vertOverflow="clip" horzOverflow="clip" rtlCol="0" anchor="t"/>
            <a:lstStyle/>
            <a:p>
              <a:pPr algn="ctr"/>
              <a:r>
                <a:rPr lang="en-US" sz="2400" b="1">
                  <a:latin typeface="Angsana New" panose="02020603050405020304" pitchFamily="18" charset="-34"/>
                  <a:cs typeface="Angsana New" panose="02020603050405020304" pitchFamily="18" charset="-34"/>
                </a:rPr>
                <a:t>Average of Unit</a:t>
              </a:r>
              <a:r>
                <a:rPr lang="en-US" sz="2400" b="1" baseline="0">
                  <a:latin typeface="Angsana New" panose="02020603050405020304" pitchFamily="18" charset="-34"/>
                  <a:cs typeface="Angsana New" panose="02020603050405020304" pitchFamily="18" charset="-34"/>
                </a:rPr>
                <a:t> Price</a:t>
              </a:r>
              <a:r>
                <a:rPr lang="en-US" sz="2400" b="1">
                  <a:latin typeface="Angsana New" panose="02020603050405020304" pitchFamily="18" charset="-34"/>
                  <a:cs typeface="Angsana New" panose="02020603050405020304" pitchFamily="18" charset="-34"/>
                </a:rPr>
                <a:t> </a:t>
              </a:r>
            </a:p>
          </xdr:txBody>
        </xdr:sp>
        <xdr:sp macro="" textlink="Pivot_Analysis!T4">
          <xdr:nvSpPr>
            <xdr:cNvPr id="17" name="Rectangle 16">
              <a:extLst>
                <a:ext uri="{FF2B5EF4-FFF2-40B4-BE49-F238E27FC236}">
                  <a16:creationId xmlns:a16="http://schemas.microsoft.com/office/drawing/2014/main" id="{E95A438E-2363-F075-C360-32CF8E21B2E5}"/>
                </a:ext>
              </a:extLst>
            </xdr:cNvPr>
            <xdr:cNvSpPr/>
          </xdr:nvSpPr>
          <xdr:spPr>
            <a:xfrm>
              <a:off x="242357" y="1036110"/>
              <a:ext cx="2148417" cy="466724"/>
            </a:xfrm>
            <a:prstGeom prst="rect">
              <a:avLst/>
            </a:prstGeom>
            <a:grpFill/>
            <a:ln/>
          </xdr:spPr>
          <xdr:style>
            <a:lnRef idx="0">
              <a:schemeClr val="accent5"/>
            </a:lnRef>
            <a:fillRef idx="3">
              <a:schemeClr val="accent5"/>
            </a:fillRef>
            <a:effectRef idx="3">
              <a:schemeClr val="accent5"/>
            </a:effectRef>
            <a:fontRef idx="minor">
              <a:schemeClr val="lt1"/>
            </a:fontRef>
          </xdr:style>
          <xdr:txBody>
            <a:bodyPr vertOverflow="clip" horzOverflow="clip" rtlCol="0" anchor="t"/>
            <a:lstStyle/>
            <a:p>
              <a:pPr algn="ctr"/>
              <a:fld id="{E88CFF22-7763-4A5C-B26F-415EBBFF0FB9}" type="TxLink">
                <a:rPr lang="en-US" sz="2800" b="0" i="0" u="none" strike="noStrike">
                  <a:solidFill>
                    <a:schemeClr val="bg1"/>
                  </a:solidFill>
                  <a:latin typeface="Angsana New"/>
                  <a:cs typeface="Angsana New"/>
                </a:rPr>
                <a:pPr algn="ctr"/>
                <a:t>244.01</a:t>
              </a:fld>
              <a:endParaRPr lang="en-US" sz="3600">
                <a:solidFill>
                  <a:schemeClr val="bg1"/>
                </a:solidFill>
                <a:latin typeface="Angsana New" panose="02020603050405020304" pitchFamily="18" charset="-34"/>
                <a:cs typeface="Angsana New" panose="02020603050405020304" pitchFamily="18" charset="-34"/>
              </a:endParaRPr>
            </a:p>
          </xdr:txBody>
        </xdr:sp>
      </xdr:grpSp>
      <xdr:graphicFrame macro="">
        <xdr:nvGraphicFramePr>
          <xdr:cNvPr id="18" name="Chart 17">
            <a:extLst>
              <a:ext uri="{FF2B5EF4-FFF2-40B4-BE49-F238E27FC236}">
                <a16:creationId xmlns:a16="http://schemas.microsoft.com/office/drawing/2014/main" id="{7A095299-39B9-4BAF-9EB9-A8F4F24102A3}"/>
              </a:ext>
            </a:extLst>
          </xdr:cNvPr>
          <xdr:cNvGraphicFramePr>
            <a:graphicFrameLocks/>
          </xdr:cNvGraphicFramePr>
        </xdr:nvGraphicFramePr>
        <xdr:xfrm>
          <a:off x="2513754" y="381000"/>
          <a:ext cx="7730914" cy="4344458"/>
        </xdr:xfrm>
        <a:graphic>
          <a:graphicData uri="http://schemas.openxmlformats.org/drawingml/2006/chart">
            <c:chart xmlns:c="http://schemas.openxmlformats.org/drawingml/2006/chart" xmlns:r="http://schemas.openxmlformats.org/officeDocument/2006/relationships" r:id="rId1"/>
          </a:graphicData>
        </a:graphic>
      </xdr:graphicFrame>
      <xdr:graphicFrame macro="">
        <xdr:nvGraphicFramePr>
          <xdr:cNvPr id="19" name="Chart 18">
            <a:extLst>
              <a:ext uri="{FF2B5EF4-FFF2-40B4-BE49-F238E27FC236}">
                <a16:creationId xmlns:a16="http://schemas.microsoft.com/office/drawing/2014/main" id="{6CA5E61E-8DD1-4E39-80EB-7E8D57B0C64E}"/>
              </a:ext>
            </a:extLst>
          </xdr:cNvPr>
          <xdr:cNvGraphicFramePr>
            <a:graphicFrameLocks/>
          </xdr:cNvGraphicFramePr>
        </xdr:nvGraphicFramePr>
        <xdr:xfrm>
          <a:off x="2492375" y="4822404"/>
          <a:ext cx="7720542" cy="3416721"/>
        </xdr:xfrm>
        <a:graphic>
          <a:graphicData uri="http://schemas.openxmlformats.org/drawingml/2006/chart">
            <c:chart xmlns:c="http://schemas.openxmlformats.org/drawingml/2006/chart" xmlns:r="http://schemas.openxmlformats.org/officeDocument/2006/relationships" r:id="rId2"/>
          </a:graphicData>
        </a:graphic>
      </xdr:graphicFrame>
      <xdr:graphicFrame macro="">
        <xdr:nvGraphicFramePr>
          <xdr:cNvPr id="20" name="Chart 19">
            <a:extLst>
              <a:ext uri="{FF2B5EF4-FFF2-40B4-BE49-F238E27FC236}">
                <a16:creationId xmlns:a16="http://schemas.microsoft.com/office/drawing/2014/main" id="{A7390D19-56C4-4436-842B-D34200459642}"/>
              </a:ext>
            </a:extLst>
          </xdr:cNvPr>
          <xdr:cNvGraphicFramePr>
            <a:graphicFrameLocks/>
          </xdr:cNvGraphicFramePr>
        </xdr:nvGraphicFramePr>
        <xdr:xfrm>
          <a:off x="10366585" y="359833"/>
          <a:ext cx="9228457" cy="4365625"/>
        </xdr:xfrm>
        <a:graphic>
          <a:graphicData uri="http://schemas.openxmlformats.org/drawingml/2006/chart">
            <c:chart xmlns:c="http://schemas.openxmlformats.org/drawingml/2006/chart" xmlns:r="http://schemas.openxmlformats.org/officeDocument/2006/relationships" r:id="rId3"/>
          </a:graphicData>
        </a:graphic>
      </xdr:graphicFrame>
      <xdr:graphicFrame macro="">
        <xdr:nvGraphicFramePr>
          <xdr:cNvPr id="21" name="Chart 20">
            <a:extLst>
              <a:ext uri="{FF2B5EF4-FFF2-40B4-BE49-F238E27FC236}">
                <a16:creationId xmlns:a16="http://schemas.microsoft.com/office/drawing/2014/main" id="{B5DAD6D4-16C2-4BA5-8DC8-BB915A803433}"/>
              </a:ext>
            </a:extLst>
          </xdr:cNvPr>
          <xdr:cNvGraphicFramePr>
            <a:graphicFrameLocks/>
          </xdr:cNvGraphicFramePr>
        </xdr:nvGraphicFramePr>
        <xdr:xfrm>
          <a:off x="10271125" y="4820707"/>
          <a:ext cx="9281583" cy="3450168"/>
        </xdr:xfrm>
        <a:graphic>
          <a:graphicData uri="http://schemas.openxmlformats.org/drawingml/2006/chart">
            <c:chart xmlns:c="http://schemas.openxmlformats.org/drawingml/2006/chart" xmlns:r="http://schemas.openxmlformats.org/officeDocument/2006/relationships" r:id="rId4"/>
          </a:graphicData>
        </a:graphic>
      </xdr:graphicFrame>
      <mc:AlternateContent xmlns:mc="http://schemas.openxmlformats.org/markup-compatibility/2006">
        <mc:Choice xmlns:a14="http://schemas.microsoft.com/office/drawing/2010/main" Requires="a14">
          <xdr:graphicFrame macro="">
            <xdr:nvGraphicFramePr>
              <xdr:cNvPr id="22" name="Warehouse">
                <a:extLst>
                  <a:ext uri="{FF2B5EF4-FFF2-40B4-BE49-F238E27FC236}">
                    <a16:creationId xmlns:a16="http://schemas.microsoft.com/office/drawing/2014/main" id="{249B1581-8E36-401D-ACC7-B21CC7358605}"/>
                  </a:ext>
                </a:extLst>
              </xdr:cNvPr>
              <xdr:cNvGraphicFramePr/>
            </xdr:nvGraphicFramePr>
            <xdr:xfrm>
              <a:off x="377221" y="6351512"/>
              <a:ext cx="1828800" cy="1469571"/>
            </xdr:xfrm>
            <a:graphic>
              <a:graphicData uri="http://schemas.microsoft.com/office/drawing/2010/slicer">
                <sle:slicer xmlns:sle="http://schemas.microsoft.com/office/drawing/2010/slicer" name="Warehouse"/>
              </a:graphicData>
            </a:graphic>
          </xdr:graphicFrame>
        </mc:Choice>
        <mc:Fallback>
          <xdr:sp macro="" textlink="">
            <xdr:nvSpPr>
              <xdr:cNvPr id="0" name=""/>
              <xdr:cNvSpPr>
                <a:spLocks noTextEdit="1"/>
              </xdr:cNvSpPr>
            </xdr:nvSpPr>
            <xdr:spPr>
              <a:xfrm>
                <a:off x="377221" y="6351512"/>
                <a:ext cx="1828800" cy="146957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twoCellAnchor editAs="oneCell">
    <xdr:from>
      <xdr:col>3</xdr:col>
      <xdr:colOff>518582</xdr:colOff>
      <xdr:row>46</xdr:row>
      <xdr:rowOff>154971</xdr:rowOff>
    </xdr:from>
    <xdr:to>
      <xdr:col>6</xdr:col>
      <xdr:colOff>426507</xdr:colOff>
      <xdr:row>54</xdr:row>
      <xdr:rowOff>137583</xdr:rowOff>
    </xdr:to>
    <mc:AlternateContent xmlns:mc="http://schemas.openxmlformats.org/markup-compatibility/2006">
      <mc:Choice xmlns:a14="http://schemas.microsoft.com/office/drawing/2010/main" Requires="a14">
        <xdr:graphicFrame macro="">
          <xdr:nvGraphicFramePr>
            <xdr:cNvPr id="24" name="Category">
              <a:extLst>
                <a:ext uri="{FF2B5EF4-FFF2-40B4-BE49-F238E27FC236}">
                  <a16:creationId xmlns:a16="http://schemas.microsoft.com/office/drawing/2014/main" id="{782524EA-F3C7-4B44-81EE-9152F323D851}"/>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2439457" y="8674554"/>
              <a:ext cx="1828800" cy="146427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396877</xdr:colOff>
      <xdr:row>46</xdr:row>
      <xdr:rowOff>74082</xdr:rowOff>
    </xdr:from>
    <xdr:to>
      <xdr:col>3</xdr:col>
      <xdr:colOff>304802</xdr:colOff>
      <xdr:row>60</xdr:row>
      <xdr:rowOff>5290</xdr:rowOff>
    </xdr:to>
    <mc:AlternateContent xmlns:mc="http://schemas.openxmlformats.org/markup-compatibility/2006">
      <mc:Choice xmlns:a14="http://schemas.microsoft.com/office/drawing/2010/main" Requires="a14">
        <xdr:graphicFrame macro="">
          <xdr:nvGraphicFramePr>
            <xdr:cNvPr id="23" name="Region">
              <a:extLst>
                <a:ext uri="{FF2B5EF4-FFF2-40B4-BE49-F238E27FC236}">
                  <a16:creationId xmlns:a16="http://schemas.microsoft.com/office/drawing/2014/main" id="{9E9B13E5-5EDF-4B85-9992-0B2328B59EAB}"/>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396877" y="859366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ham Ashraf" refreshedDate="46194.080686921297" createdVersion="8" refreshedVersion="8" minRefreshableVersion="3" recordCount="100" xr:uid="{34B6BA9D-DDCD-4314-B273-084B6849145A}">
  <cacheSource type="worksheet">
    <worksheetSource name="Orders"/>
  </cacheSource>
  <cacheFields count="14">
    <cacheField name="Warehouse" numFmtId="0">
      <sharedItems count="4">
        <s v="Warehouse A"/>
        <s v="Warehouse B"/>
        <s v="Warehouse C"/>
        <s v="Warehouse D"/>
      </sharedItems>
    </cacheField>
    <cacheField name="Region" numFmtId="0">
      <sharedItems count="8">
        <s v="Aswan"/>
        <s v="Mansoura"/>
        <s v="Giza"/>
        <s v="Alexandria"/>
        <s v="Tanta"/>
        <s v="Port Said"/>
        <s v="Cairo"/>
        <s v="Luxor"/>
      </sharedItems>
    </cacheField>
    <cacheField name="Product Name" numFmtId="0">
      <sharedItems count="12">
        <s v="Power Bank"/>
        <s v="Mechanical Keyboard"/>
        <s v="Network Switch"/>
        <s v="Desk Lamp"/>
        <s v="Office Chair"/>
        <s v="Hard Drive"/>
        <s v="Wireless Mouse"/>
        <s v="Monitor Arm"/>
        <s v="USB Hub"/>
        <s v="Webcam HD"/>
        <s v="HDMI Cable"/>
        <s v="Laptop Stand"/>
      </sharedItems>
    </cacheField>
    <cacheField name="Category" numFmtId="0">
      <sharedItems count="4">
        <s v="Electronics"/>
        <s v="Office"/>
        <s v="Networking"/>
        <s v="Storage"/>
      </sharedItems>
    </cacheField>
    <cacheField name="Subcategory" numFmtId="0">
      <sharedItems/>
    </cacheField>
    <cacheField name="Order Date" numFmtId="14">
      <sharedItems containsSemiMixedTypes="0" containsNonDate="0" containsDate="1" containsString="0" minDate="2024-01-05T00:00:00" maxDate="2024-12-23T00:00:00" count="83">
        <d v="2024-06-02T00:00:00"/>
        <d v="2024-09-15T00:00:00"/>
        <d v="2024-04-14T00:00:00"/>
        <d v="2024-09-22T00:00:00"/>
        <d v="2024-08-19T00:00:00"/>
        <d v="2024-12-18T00:00:00"/>
        <d v="2024-02-15T00:00:00"/>
        <d v="2024-09-02T00:00:00"/>
        <d v="2024-02-27T00:00:00"/>
        <d v="2024-05-27T00:00:00"/>
        <d v="2024-01-08T00:00:00"/>
        <d v="2024-07-27T00:00:00"/>
        <d v="2024-11-24T00:00:00"/>
        <d v="2024-08-01T00:00:00"/>
        <d v="2024-03-23T00:00:00"/>
        <d v="2024-08-16T00:00:00"/>
        <d v="2024-02-14T00:00:00"/>
        <d v="2024-07-10T00:00:00"/>
        <d v="2024-08-28T00:00:00"/>
        <d v="2024-09-18T00:00:00"/>
        <d v="2024-12-15T00:00:00"/>
        <d v="2024-04-19T00:00:00"/>
        <d v="2024-05-01T00:00:00"/>
        <d v="2024-04-16T00:00:00"/>
        <d v="2024-11-06T00:00:00"/>
        <d v="2024-11-07T00:00:00"/>
        <d v="2024-01-17T00:00:00"/>
        <d v="2024-09-03T00:00:00"/>
        <d v="2024-04-04T00:00:00"/>
        <d v="2024-03-27T00:00:00"/>
        <d v="2024-01-09T00:00:00"/>
        <d v="2024-09-10T00:00:00"/>
        <d v="2024-09-12T00:00:00"/>
        <d v="2024-02-23T00:00:00"/>
        <d v="2024-03-06T00:00:00"/>
        <d v="2024-11-03T00:00:00"/>
        <d v="2024-05-18T00:00:00"/>
        <d v="2024-01-21T00:00:00"/>
        <d v="2024-02-20T00:00:00"/>
        <d v="2024-09-01T00:00:00"/>
        <d v="2024-05-11T00:00:00"/>
        <d v="2024-05-13T00:00:00"/>
        <d v="2024-11-26T00:00:00"/>
        <d v="2024-07-17T00:00:00"/>
        <d v="2024-11-15T00:00:00"/>
        <d v="2024-04-22T00:00:00"/>
        <d v="2024-01-25T00:00:00"/>
        <d v="2024-11-13T00:00:00"/>
        <d v="2024-09-09T00:00:00"/>
        <d v="2024-04-11T00:00:00"/>
        <d v="2024-08-13T00:00:00"/>
        <d v="2024-08-05T00:00:00"/>
        <d v="2024-03-15T00:00:00"/>
        <d v="2024-08-04T00:00:00"/>
        <d v="2024-04-02T00:00:00"/>
        <d v="2024-06-15T00:00:00"/>
        <d v="2024-04-17T00:00:00"/>
        <d v="2024-07-11T00:00:00"/>
        <d v="2024-12-21T00:00:00"/>
        <d v="2024-02-18T00:00:00"/>
        <d v="2024-07-08T00:00:00"/>
        <d v="2024-06-20T00:00:00"/>
        <d v="2024-07-19T00:00:00"/>
        <d v="2024-11-09T00:00:00"/>
        <d v="2024-03-01T00:00:00"/>
        <d v="2024-08-27T00:00:00"/>
        <d v="2024-02-08T00:00:00"/>
        <d v="2024-11-23T00:00:00"/>
        <d v="2024-01-05T00:00:00"/>
        <d v="2024-04-24T00:00:00"/>
        <d v="2024-12-22T00:00:00"/>
        <d v="2024-05-21T00:00:00"/>
        <d v="2024-10-14T00:00:00"/>
        <d v="2024-03-14T00:00:00"/>
        <d v="2024-01-27T00:00:00"/>
        <d v="2024-05-15T00:00:00"/>
        <d v="2024-07-05T00:00:00"/>
        <d v="2024-01-28T00:00:00"/>
        <d v="2024-05-14T00:00:00"/>
        <d v="2024-05-23T00:00:00"/>
        <d v="2024-05-12T00:00:00"/>
        <d v="2024-02-02T00:00:00"/>
        <d v="2024-04-03T00:00:00"/>
      </sharedItems>
      <fieldGroup par="13"/>
    </cacheField>
    <cacheField name="Year" numFmtId="0">
      <sharedItems containsSemiMixedTypes="0" containsString="0" containsNumber="1" containsInteger="1" minValue="2024" maxValue="2024"/>
    </cacheField>
    <cacheField name="Month" numFmtId="0">
      <sharedItems count="12">
        <s v="June"/>
        <s v="September"/>
        <s v="April"/>
        <s v="August"/>
        <s v="December"/>
        <s v="February"/>
        <s v="May"/>
        <s v="January"/>
        <s v="July"/>
        <s v="November"/>
        <s v="March"/>
        <s v="October"/>
      </sharedItems>
    </cacheField>
    <cacheField name="Quarter" numFmtId="0">
      <sharedItems/>
    </cacheField>
    <cacheField name="Quantity" numFmtId="1">
      <sharedItems containsSemiMixedTypes="0" containsString="0" containsNumber="1" containsInteger="1" minValue="1" maxValue="39"/>
    </cacheField>
    <cacheField name="Unit Price" numFmtId="2">
      <sharedItems containsSemiMixedTypes="0" containsString="0" containsNumber="1" minValue="6.79" maxValue="491.03"/>
    </cacheField>
    <cacheField name="Total Sales" numFmtId="164">
      <sharedItems containsSemiMixedTypes="0" containsString="0" containsNumber="1" minValue="37.799999999999997" maxValue="15686.88"/>
    </cacheField>
    <cacheField name="Days (Order Date)" numFmtId="0" databaseField="0">
      <fieldGroup base="5">
        <rangePr groupBy="days" startDate="2024-01-05T00:00:00" endDate="2024-12-23T00:00:00"/>
        <groupItems count="368">
          <s v="&lt;1/5/2024"/>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12/23/2024"/>
        </groupItems>
      </fieldGroup>
    </cacheField>
    <cacheField name="Months (Order Date)" numFmtId="0" databaseField="0">
      <fieldGroup base="5">
        <rangePr groupBy="months" startDate="2024-01-05T00:00:00" endDate="2024-12-23T00:00:00"/>
        <groupItems count="14">
          <s v="&lt;1/5/2024"/>
          <s v="Jan"/>
          <s v="Feb"/>
          <s v="Mar"/>
          <s v="Apr"/>
          <s v="May"/>
          <s v="Jun"/>
          <s v="Jul"/>
          <s v="Aug"/>
          <s v="Sep"/>
          <s v="Oct"/>
          <s v="Nov"/>
          <s v="Dec"/>
          <s v="&gt;12/23/2024"/>
        </groupItems>
      </fieldGroup>
    </cacheField>
  </cacheFields>
  <extLst>
    <ext xmlns:x14="http://schemas.microsoft.com/office/spreadsheetml/2009/9/main" uri="{725AE2AE-9491-48be-B2B4-4EB974FC3084}">
      <x14:pivotCacheDefinition pivotCacheId="162910922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x v="0"/>
    <x v="0"/>
    <x v="0"/>
    <x v="0"/>
    <s v="Accessories"/>
    <x v="0"/>
    <n v="2024"/>
    <x v="0"/>
    <s v="Q2"/>
    <n v="38"/>
    <n v="33.71"/>
    <n v="1280.98"/>
  </r>
  <r>
    <x v="0"/>
    <x v="1"/>
    <x v="1"/>
    <x v="1"/>
    <s v="Stationery"/>
    <x v="1"/>
    <n v="2024"/>
    <x v="1"/>
    <s v="Q3"/>
    <n v="28"/>
    <n v="34.26"/>
    <n v="959.28"/>
  </r>
  <r>
    <x v="0"/>
    <x v="2"/>
    <x v="2"/>
    <x v="2"/>
    <s v="Cables"/>
    <x v="2"/>
    <n v="2024"/>
    <x v="2"/>
    <s v="Q2"/>
    <n v="3"/>
    <n v="280.55"/>
    <n v="841.65"/>
  </r>
  <r>
    <x v="0"/>
    <x v="3"/>
    <x v="0"/>
    <x v="2"/>
    <s v="Cables"/>
    <x v="3"/>
    <n v="2024"/>
    <x v="1"/>
    <s v="Q3"/>
    <n v="12"/>
    <n v="56.01"/>
    <n v="672.12"/>
  </r>
  <r>
    <x v="0"/>
    <x v="1"/>
    <x v="1"/>
    <x v="2"/>
    <s v="Cables"/>
    <x v="4"/>
    <n v="2024"/>
    <x v="3"/>
    <s v="Q3"/>
    <n v="35"/>
    <n v="216.66"/>
    <n v="7583.1"/>
  </r>
  <r>
    <x v="0"/>
    <x v="0"/>
    <x v="3"/>
    <x v="1"/>
    <s v="Furniture"/>
    <x v="5"/>
    <n v="2024"/>
    <x v="4"/>
    <s v="Q4"/>
    <n v="16"/>
    <n v="45.52"/>
    <n v="728.32"/>
  </r>
  <r>
    <x v="0"/>
    <x v="4"/>
    <x v="4"/>
    <x v="3"/>
    <s v="Drives"/>
    <x v="6"/>
    <n v="2024"/>
    <x v="5"/>
    <s v="Q1"/>
    <n v="33"/>
    <n v="211.97"/>
    <n v="6995.01"/>
  </r>
  <r>
    <x v="0"/>
    <x v="0"/>
    <x v="4"/>
    <x v="0"/>
    <s v="Accessories"/>
    <x v="7"/>
    <n v="2024"/>
    <x v="1"/>
    <s v="Q3"/>
    <n v="37"/>
    <n v="395.6"/>
    <n v="14637.2"/>
  </r>
  <r>
    <x v="0"/>
    <x v="0"/>
    <x v="5"/>
    <x v="2"/>
    <s v="Cables"/>
    <x v="8"/>
    <n v="2024"/>
    <x v="5"/>
    <s v="Q1"/>
    <n v="6"/>
    <n v="472.62"/>
    <n v="2835.72"/>
  </r>
  <r>
    <x v="0"/>
    <x v="5"/>
    <x v="6"/>
    <x v="3"/>
    <s v="Drives"/>
    <x v="9"/>
    <n v="2024"/>
    <x v="6"/>
    <s v="Q2"/>
    <n v="25"/>
    <n v="444.08"/>
    <n v="11102"/>
  </r>
  <r>
    <x v="0"/>
    <x v="0"/>
    <x v="4"/>
    <x v="0"/>
    <s v="Computers"/>
    <x v="10"/>
    <n v="2024"/>
    <x v="7"/>
    <s v="Q1"/>
    <n v="14"/>
    <n v="385.28"/>
    <n v="5393.92"/>
  </r>
  <r>
    <x v="0"/>
    <x v="3"/>
    <x v="0"/>
    <x v="1"/>
    <s v="Stationery"/>
    <x v="11"/>
    <n v="2024"/>
    <x v="8"/>
    <s v="Q3"/>
    <n v="36"/>
    <n v="142.53"/>
    <n v="5131.08"/>
  </r>
  <r>
    <x v="0"/>
    <x v="3"/>
    <x v="7"/>
    <x v="3"/>
    <s v="Drives"/>
    <x v="12"/>
    <n v="2024"/>
    <x v="9"/>
    <s v="Q4"/>
    <n v="25"/>
    <n v="479.08"/>
    <n v="11977"/>
  </r>
  <r>
    <x v="0"/>
    <x v="3"/>
    <x v="8"/>
    <x v="0"/>
    <s v="Computers"/>
    <x v="13"/>
    <n v="2024"/>
    <x v="3"/>
    <s v="Q3"/>
    <n v="38"/>
    <n v="95.26"/>
    <n v="3619.88"/>
  </r>
  <r>
    <x v="0"/>
    <x v="4"/>
    <x v="8"/>
    <x v="2"/>
    <s v="Cables"/>
    <x v="14"/>
    <n v="2024"/>
    <x v="10"/>
    <s v="Q1"/>
    <n v="33"/>
    <n v="475.36"/>
    <n v="15686.88"/>
  </r>
  <r>
    <x v="0"/>
    <x v="6"/>
    <x v="2"/>
    <x v="1"/>
    <s v="Stationery"/>
    <x v="15"/>
    <n v="2024"/>
    <x v="3"/>
    <s v="Q3"/>
    <n v="26"/>
    <n v="35.81"/>
    <n v="931.06"/>
  </r>
  <r>
    <x v="0"/>
    <x v="2"/>
    <x v="4"/>
    <x v="0"/>
    <s v="Accessories"/>
    <x v="16"/>
    <n v="2024"/>
    <x v="5"/>
    <s v="Q1"/>
    <n v="1"/>
    <n v="285.56"/>
    <n v="285.56"/>
  </r>
  <r>
    <x v="0"/>
    <x v="2"/>
    <x v="3"/>
    <x v="0"/>
    <s v="Accessories"/>
    <x v="17"/>
    <n v="2024"/>
    <x v="8"/>
    <s v="Q3"/>
    <n v="10"/>
    <n v="319.02999999999997"/>
    <n v="3190.3"/>
  </r>
  <r>
    <x v="0"/>
    <x v="0"/>
    <x v="9"/>
    <x v="0"/>
    <s v="Accessories"/>
    <x v="18"/>
    <n v="2024"/>
    <x v="3"/>
    <s v="Q3"/>
    <n v="31"/>
    <n v="244.5"/>
    <n v="7579.5"/>
  </r>
  <r>
    <x v="0"/>
    <x v="2"/>
    <x v="1"/>
    <x v="3"/>
    <s v="Drives"/>
    <x v="19"/>
    <n v="2024"/>
    <x v="1"/>
    <s v="Q3"/>
    <n v="2"/>
    <n v="106.58"/>
    <n v="213.16"/>
  </r>
  <r>
    <x v="0"/>
    <x v="0"/>
    <x v="5"/>
    <x v="2"/>
    <s v="Cables"/>
    <x v="20"/>
    <n v="2024"/>
    <x v="4"/>
    <s v="Q4"/>
    <n v="17"/>
    <n v="261.61"/>
    <n v="4447.37"/>
  </r>
  <r>
    <x v="0"/>
    <x v="3"/>
    <x v="10"/>
    <x v="3"/>
    <s v="Drives"/>
    <x v="21"/>
    <n v="2024"/>
    <x v="2"/>
    <s v="Q2"/>
    <n v="26"/>
    <n v="371.24"/>
    <n v="9652.24"/>
  </r>
  <r>
    <x v="0"/>
    <x v="1"/>
    <x v="7"/>
    <x v="1"/>
    <s v="Furniture"/>
    <x v="22"/>
    <n v="2024"/>
    <x v="6"/>
    <s v="Q2"/>
    <n v="31"/>
    <n v="133.29"/>
    <n v="4131.99"/>
  </r>
  <r>
    <x v="0"/>
    <x v="0"/>
    <x v="5"/>
    <x v="1"/>
    <s v="Furniture"/>
    <x v="23"/>
    <n v="2024"/>
    <x v="2"/>
    <s v="Q2"/>
    <n v="31"/>
    <n v="102.37"/>
    <n v="3173.47"/>
  </r>
  <r>
    <x v="0"/>
    <x v="1"/>
    <x v="3"/>
    <x v="1"/>
    <s v="Stationery"/>
    <x v="24"/>
    <n v="2024"/>
    <x v="9"/>
    <s v="Q4"/>
    <n v="6"/>
    <n v="418.15"/>
    <n v="2508.9"/>
  </r>
  <r>
    <x v="0"/>
    <x v="2"/>
    <x v="5"/>
    <x v="1"/>
    <s v="Stationery"/>
    <x v="25"/>
    <n v="2024"/>
    <x v="9"/>
    <s v="Q4"/>
    <n v="22"/>
    <n v="47.94"/>
    <n v="1054.68"/>
  </r>
  <r>
    <x v="1"/>
    <x v="7"/>
    <x v="0"/>
    <x v="3"/>
    <s v="Drives"/>
    <x v="26"/>
    <n v="2024"/>
    <x v="7"/>
    <s v="Q1"/>
    <n v="10"/>
    <n v="297.45"/>
    <n v="2974.5"/>
  </r>
  <r>
    <x v="1"/>
    <x v="5"/>
    <x v="3"/>
    <x v="3"/>
    <s v="Drives"/>
    <x v="27"/>
    <n v="2024"/>
    <x v="1"/>
    <s v="Q3"/>
    <n v="36"/>
    <n v="69.84"/>
    <n v="2514.2399999999998"/>
  </r>
  <r>
    <x v="1"/>
    <x v="6"/>
    <x v="7"/>
    <x v="1"/>
    <s v="Stationery"/>
    <x v="28"/>
    <n v="2024"/>
    <x v="2"/>
    <s v="Q2"/>
    <n v="2"/>
    <n v="129.66"/>
    <n v="259.32"/>
  </r>
  <r>
    <x v="1"/>
    <x v="4"/>
    <x v="10"/>
    <x v="1"/>
    <s v="Furniture"/>
    <x v="26"/>
    <n v="2024"/>
    <x v="7"/>
    <s v="Q1"/>
    <n v="23"/>
    <n v="449.36"/>
    <n v="10335.280000000001"/>
  </r>
  <r>
    <x v="1"/>
    <x v="7"/>
    <x v="8"/>
    <x v="2"/>
    <s v="Cables"/>
    <x v="29"/>
    <n v="2024"/>
    <x v="10"/>
    <s v="Q1"/>
    <n v="39"/>
    <n v="6.95"/>
    <n v="271.05"/>
  </r>
  <r>
    <x v="1"/>
    <x v="3"/>
    <x v="8"/>
    <x v="2"/>
    <s v="Cables"/>
    <x v="30"/>
    <n v="2024"/>
    <x v="7"/>
    <s v="Q1"/>
    <n v="21"/>
    <n v="342.75"/>
    <n v="7197.75"/>
  </r>
  <r>
    <x v="1"/>
    <x v="5"/>
    <x v="7"/>
    <x v="0"/>
    <s v="Computers"/>
    <x v="16"/>
    <n v="2024"/>
    <x v="5"/>
    <s v="Q1"/>
    <n v="33"/>
    <n v="228.83"/>
    <n v="7551.39"/>
  </r>
  <r>
    <x v="1"/>
    <x v="6"/>
    <x v="4"/>
    <x v="2"/>
    <s v="Cables"/>
    <x v="31"/>
    <n v="2024"/>
    <x v="1"/>
    <s v="Q3"/>
    <n v="13"/>
    <n v="347.9"/>
    <n v="4522.7"/>
  </r>
  <r>
    <x v="1"/>
    <x v="5"/>
    <x v="7"/>
    <x v="2"/>
    <s v="Cables"/>
    <x v="32"/>
    <n v="2024"/>
    <x v="1"/>
    <s v="Q3"/>
    <n v="17"/>
    <n v="461.78"/>
    <n v="7850.26"/>
  </r>
  <r>
    <x v="1"/>
    <x v="1"/>
    <x v="8"/>
    <x v="0"/>
    <s v="Accessories"/>
    <x v="33"/>
    <n v="2024"/>
    <x v="5"/>
    <s v="Q1"/>
    <n v="16"/>
    <n v="217.03"/>
    <n v="3472.48"/>
  </r>
  <r>
    <x v="1"/>
    <x v="1"/>
    <x v="1"/>
    <x v="3"/>
    <s v="Drives"/>
    <x v="34"/>
    <n v="2024"/>
    <x v="10"/>
    <s v="Q1"/>
    <n v="17"/>
    <n v="442"/>
    <n v="7514"/>
  </r>
  <r>
    <x v="1"/>
    <x v="5"/>
    <x v="5"/>
    <x v="1"/>
    <s v="Stationery"/>
    <x v="35"/>
    <n v="2024"/>
    <x v="9"/>
    <s v="Q4"/>
    <n v="15"/>
    <n v="84.93"/>
    <n v="1273.95"/>
  </r>
  <r>
    <x v="1"/>
    <x v="7"/>
    <x v="0"/>
    <x v="1"/>
    <s v="Stationery"/>
    <x v="33"/>
    <n v="2024"/>
    <x v="5"/>
    <s v="Q1"/>
    <n v="24"/>
    <n v="14.64"/>
    <n v="351.36"/>
  </r>
  <r>
    <x v="1"/>
    <x v="5"/>
    <x v="5"/>
    <x v="1"/>
    <s v="Stationery"/>
    <x v="3"/>
    <n v="2024"/>
    <x v="1"/>
    <s v="Q3"/>
    <n v="5"/>
    <n v="60.86"/>
    <n v="304.3"/>
  </r>
  <r>
    <x v="1"/>
    <x v="1"/>
    <x v="1"/>
    <x v="1"/>
    <s v="Furniture"/>
    <x v="36"/>
    <n v="2024"/>
    <x v="6"/>
    <s v="Q2"/>
    <n v="9"/>
    <n v="410.79"/>
    <n v="3697.11"/>
  </r>
  <r>
    <x v="1"/>
    <x v="4"/>
    <x v="8"/>
    <x v="3"/>
    <s v="Drives"/>
    <x v="37"/>
    <n v="2024"/>
    <x v="7"/>
    <s v="Q1"/>
    <n v="12"/>
    <n v="215.53"/>
    <n v="2586.36"/>
  </r>
  <r>
    <x v="1"/>
    <x v="2"/>
    <x v="6"/>
    <x v="1"/>
    <s v="Furniture"/>
    <x v="38"/>
    <n v="2024"/>
    <x v="5"/>
    <s v="Q1"/>
    <n v="17"/>
    <n v="432.07"/>
    <n v="7345.19"/>
  </r>
  <r>
    <x v="1"/>
    <x v="5"/>
    <x v="9"/>
    <x v="1"/>
    <s v="Furniture"/>
    <x v="39"/>
    <n v="2024"/>
    <x v="1"/>
    <s v="Q3"/>
    <n v="16"/>
    <n v="469.37"/>
    <n v="7509.92"/>
  </r>
  <r>
    <x v="1"/>
    <x v="3"/>
    <x v="6"/>
    <x v="0"/>
    <s v="Computers"/>
    <x v="40"/>
    <n v="2024"/>
    <x v="6"/>
    <s v="Q2"/>
    <n v="34"/>
    <n v="380.95"/>
    <n v="12952.3"/>
  </r>
  <r>
    <x v="1"/>
    <x v="4"/>
    <x v="7"/>
    <x v="1"/>
    <s v="Furniture"/>
    <x v="41"/>
    <n v="2024"/>
    <x v="6"/>
    <s v="Q2"/>
    <n v="3"/>
    <n v="12.6"/>
    <n v="37.799999999999997"/>
  </r>
  <r>
    <x v="1"/>
    <x v="1"/>
    <x v="4"/>
    <x v="1"/>
    <s v="Stationery"/>
    <x v="42"/>
    <n v="2024"/>
    <x v="9"/>
    <s v="Q4"/>
    <n v="32"/>
    <n v="275.22000000000003"/>
    <n v="8807.0400000000009"/>
  </r>
  <r>
    <x v="1"/>
    <x v="7"/>
    <x v="11"/>
    <x v="0"/>
    <s v="Computers"/>
    <x v="43"/>
    <n v="2024"/>
    <x v="8"/>
    <s v="Q3"/>
    <n v="23"/>
    <n v="491.03"/>
    <n v="11293.69"/>
  </r>
  <r>
    <x v="1"/>
    <x v="3"/>
    <x v="1"/>
    <x v="1"/>
    <s v="Stationery"/>
    <x v="44"/>
    <n v="2024"/>
    <x v="9"/>
    <s v="Q4"/>
    <n v="25"/>
    <n v="435.92"/>
    <n v="10898"/>
  </r>
  <r>
    <x v="1"/>
    <x v="4"/>
    <x v="10"/>
    <x v="0"/>
    <s v="Accessories"/>
    <x v="36"/>
    <n v="2024"/>
    <x v="6"/>
    <s v="Q2"/>
    <n v="29"/>
    <n v="6.79"/>
    <n v="196.91"/>
  </r>
  <r>
    <x v="1"/>
    <x v="0"/>
    <x v="7"/>
    <x v="0"/>
    <s v="Computers"/>
    <x v="45"/>
    <n v="2024"/>
    <x v="2"/>
    <s v="Q2"/>
    <n v="23"/>
    <n v="95.56"/>
    <n v="2197.88"/>
  </r>
  <r>
    <x v="2"/>
    <x v="0"/>
    <x v="1"/>
    <x v="1"/>
    <s v="Furniture"/>
    <x v="21"/>
    <n v="2024"/>
    <x v="2"/>
    <s v="Q2"/>
    <n v="33"/>
    <n v="389.24"/>
    <n v="12844.92"/>
  </r>
  <r>
    <x v="2"/>
    <x v="2"/>
    <x v="1"/>
    <x v="1"/>
    <s v="Stationery"/>
    <x v="46"/>
    <n v="2024"/>
    <x v="7"/>
    <s v="Q1"/>
    <n v="20"/>
    <n v="155.6"/>
    <n v="3112"/>
  </r>
  <r>
    <x v="2"/>
    <x v="1"/>
    <x v="3"/>
    <x v="3"/>
    <s v="Drives"/>
    <x v="17"/>
    <n v="2024"/>
    <x v="8"/>
    <s v="Q3"/>
    <n v="21"/>
    <n v="361.74"/>
    <n v="7596.54"/>
  </r>
  <r>
    <x v="2"/>
    <x v="5"/>
    <x v="11"/>
    <x v="0"/>
    <s v="Accessories"/>
    <x v="32"/>
    <n v="2024"/>
    <x v="1"/>
    <s v="Q3"/>
    <n v="28"/>
    <n v="368.26"/>
    <n v="10311.280000000001"/>
  </r>
  <r>
    <x v="2"/>
    <x v="3"/>
    <x v="7"/>
    <x v="3"/>
    <s v="Drives"/>
    <x v="38"/>
    <n v="2024"/>
    <x v="5"/>
    <s v="Q1"/>
    <n v="2"/>
    <n v="25.72"/>
    <n v="51.44"/>
  </r>
  <r>
    <x v="2"/>
    <x v="0"/>
    <x v="0"/>
    <x v="2"/>
    <s v="Cables"/>
    <x v="47"/>
    <n v="2024"/>
    <x v="9"/>
    <s v="Q4"/>
    <n v="35"/>
    <n v="341.93"/>
    <n v="11967.55"/>
  </r>
  <r>
    <x v="2"/>
    <x v="5"/>
    <x v="6"/>
    <x v="0"/>
    <s v="Accessories"/>
    <x v="48"/>
    <n v="2024"/>
    <x v="1"/>
    <s v="Q3"/>
    <n v="6"/>
    <n v="331.35"/>
    <n v="1988.1"/>
  </r>
  <r>
    <x v="2"/>
    <x v="2"/>
    <x v="11"/>
    <x v="1"/>
    <s v="Furniture"/>
    <x v="21"/>
    <n v="2024"/>
    <x v="2"/>
    <s v="Q2"/>
    <n v="30"/>
    <n v="249.5"/>
    <n v="7485"/>
  </r>
  <r>
    <x v="2"/>
    <x v="7"/>
    <x v="4"/>
    <x v="0"/>
    <s v="Accessories"/>
    <x v="49"/>
    <n v="2024"/>
    <x v="2"/>
    <s v="Q2"/>
    <n v="5"/>
    <n v="301.85000000000002"/>
    <n v="1509.25"/>
  </r>
  <r>
    <x v="2"/>
    <x v="0"/>
    <x v="2"/>
    <x v="2"/>
    <s v="Cables"/>
    <x v="50"/>
    <n v="2024"/>
    <x v="3"/>
    <s v="Q3"/>
    <n v="4"/>
    <n v="245.47"/>
    <n v="981.88"/>
  </r>
  <r>
    <x v="2"/>
    <x v="2"/>
    <x v="2"/>
    <x v="1"/>
    <s v="Furniture"/>
    <x v="51"/>
    <n v="2024"/>
    <x v="3"/>
    <s v="Q3"/>
    <n v="30"/>
    <n v="235.84"/>
    <n v="7075.2"/>
  </r>
  <r>
    <x v="2"/>
    <x v="2"/>
    <x v="10"/>
    <x v="0"/>
    <s v="Accessories"/>
    <x v="22"/>
    <n v="2024"/>
    <x v="6"/>
    <s v="Q2"/>
    <n v="30"/>
    <n v="42.85"/>
    <n v="1285.5"/>
  </r>
  <r>
    <x v="2"/>
    <x v="5"/>
    <x v="0"/>
    <x v="0"/>
    <s v="Computers"/>
    <x v="52"/>
    <n v="2024"/>
    <x v="10"/>
    <s v="Q1"/>
    <n v="34"/>
    <n v="134.6"/>
    <n v="4576.3999999999996"/>
  </r>
  <r>
    <x v="2"/>
    <x v="0"/>
    <x v="3"/>
    <x v="0"/>
    <s v="Accessories"/>
    <x v="53"/>
    <n v="2024"/>
    <x v="3"/>
    <s v="Q3"/>
    <n v="32"/>
    <n v="200.07"/>
    <n v="6402.24"/>
  </r>
  <r>
    <x v="2"/>
    <x v="3"/>
    <x v="4"/>
    <x v="1"/>
    <s v="Stationery"/>
    <x v="43"/>
    <n v="2024"/>
    <x v="8"/>
    <s v="Q3"/>
    <n v="23"/>
    <n v="191.17"/>
    <n v="4396.91"/>
  </r>
  <r>
    <x v="2"/>
    <x v="2"/>
    <x v="6"/>
    <x v="1"/>
    <s v="Furniture"/>
    <x v="54"/>
    <n v="2024"/>
    <x v="2"/>
    <s v="Q2"/>
    <n v="1"/>
    <n v="451.28"/>
    <n v="451.28"/>
  </r>
  <r>
    <x v="2"/>
    <x v="4"/>
    <x v="9"/>
    <x v="1"/>
    <s v="Stationery"/>
    <x v="55"/>
    <n v="2024"/>
    <x v="0"/>
    <s v="Q2"/>
    <n v="28"/>
    <n v="379.05"/>
    <n v="10613.4"/>
  </r>
  <r>
    <x v="2"/>
    <x v="6"/>
    <x v="1"/>
    <x v="3"/>
    <s v="Drives"/>
    <x v="56"/>
    <n v="2024"/>
    <x v="2"/>
    <s v="Q2"/>
    <n v="18"/>
    <n v="220.94"/>
    <n v="3976.92"/>
  </r>
  <r>
    <x v="2"/>
    <x v="0"/>
    <x v="9"/>
    <x v="0"/>
    <s v="Accessories"/>
    <x v="57"/>
    <n v="2024"/>
    <x v="8"/>
    <s v="Q3"/>
    <n v="36"/>
    <n v="276.87"/>
    <n v="9967.32"/>
  </r>
  <r>
    <x v="2"/>
    <x v="2"/>
    <x v="5"/>
    <x v="1"/>
    <s v="Stationery"/>
    <x v="35"/>
    <n v="2024"/>
    <x v="9"/>
    <s v="Q4"/>
    <n v="19"/>
    <n v="245.36"/>
    <n v="4661.84"/>
  </r>
  <r>
    <x v="2"/>
    <x v="3"/>
    <x v="4"/>
    <x v="1"/>
    <s v="Furniture"/>
    <x v="58"/>
    <n v="2024"/>
    <x v="4"/>
    <s v="Q4"/>
    <n v="17"/>
    <n v="206.07"/>
    <n v="3503.19"/>
  </r>
  <r>
    <x v="2"/>
    <x v="1"/>
    <x v="4"/>
    <x v="0"/>
    <s v="Accessories"/>
    <x v="59"/>
    <n v="2024"/>
    <x v="5"/>
    <s v="Q1"/>
    <n v="14"/>
    <n v="252.8"/>
    <n v="3539.2"/>
  </r>
  <r>
    <x v="2"/>
    <x v="5"/>
    <x v="10"/>
    <x v="1"/>
    <s v="Furniture"/>
    <x v="60"/>
    <n v="2024"/>
    <x v="8"/>
    <s v="Q3"/>
    <n v="9"/>
    <n v="276.14999999999998"/>
    <n v="2485.35"/>
  </r>
  <r>
    <x v="2"/>
    <x v="1"/>
    <x v="8"/>
    <x v="2"/>
    <s v="Cables"/>
    <x v="61"/>
    <n v="2024"/>
    <x v="0"/>
    <s v="Q2"/>
    <n v="17"/>
    <n v="405.63"/>
    <n v="6895.71"/>
  </r>
  <r>
    <x v="2"/>
    <x v="1"/>
    <x v="5"/>
    <x v="1"/>
    <s v="Stationery"/>
    <x v="62"/>
    <n v="2024"/>
    <x v="8"/>
    <s v="Q3"/>
    <n v="18"/>
    <n v="172.41"/>
    <n v="3103.38"/>
  </r>
  <r>
    <x v="3"/>
    <x v="6"/>
    <x v="11"/>
    <x v="0"/>
    <s v="Computers"/>
    <x v="63"/>
    <n v="2024"/>
    <x v="9"/>
    <s v="Q4"/>
    <n v="14"/>
    <n v="50.84"/>
    <n v="711.76"/>
  </r>
  <r>
    <x v="3"/>
    <x v="1"/>
    <x v="0"/>
    <x v="1"/>
    <s v="Stationery"/>
    <x v="64"/>
    <n v="2024"/>
    <x v="10"/>
    <s v="Q1"/>
    <n v="3"/>
    <n v="215.47"/>
    <n v="646.41"/>
  </r>
  <r>
    <x v="3"/>
    <x v="5"/>
    <x v="4"/>
    <x v="0"/>
    <s v="Accessories"/>
    <x v="65"/>
    <n v="2024"/>
    <x v="3"/>
    <s v="Q3"/>
    <n v="16"/>
    <n v="392.64"/>
    <n v="6282.24"/>
  </r>
  <r>
    <x v="3"/>
    <x v="1"/>
    <x v="8"/>
    <x v="3"/>
    <s v="Drives"/>
    <x v="66"/>
    <n v="2024"/>
    <x v="5"/>
    <s v="Q1"/>
    <n v="36"/>
    <n v="389.55"/>
    <n v="14023.8"/>
  </r>
  <r>
    <x v="3"/>
    <x v="6"/>
    <x v="10"/>
    <x v="3"/>
    <s v="Drives"/>
    <x v="35"/>
    <n v="2024"/>
    <x v="9"/>
    <s v="Q4"/>
    <n v="17"/>
    <n v="266.49"/>
    <n v="4530.33"/>
  </r>
  <r>
    <x v="3"/>
    <x v="7"/>
    <x v="1"/>
    <x v="1"/>
    <s v="Furniture"/>
    <x v="62"/>
    <n v="2024"/>
    <x v="8"/>
    <s v="Q3"/>
    <n v="17"/>
    <n v="115.67"/>
    <n v="1966.39"/>
  </r>
  <r>
    <x v="3"/>
    <x v="6"/>
    <x v="7"/>
    <x v="1"/>
    <s v="Stationery"/>
    <x v="67"/>
    <n v="2024"/>
    <x v="9"/>
    <s v="Q4"/>
    <n v="16"/>
    <n v="240.28"/>
    <n v="3844.48"/>
  </r>
  <r>
    <x v="3"/>
    <x v="1"/>
    <x v="10"/>
    <x v="1"/>
    <s v="Stationery"/>
    <x v="68"/>
    <n v="2024"/>
    <x v="7"/>
    <s v="Q1"/>
    <n v="2"/>
    <n v="101.09"/>
    <n v="202.18"/>
  </r>
  <r>
    <x v="3"/>
    <x v="7"/>
    <x v="11"/>
    <x v="3"/>
    <s v="Drives"/>
    <x v="69"/>
    <n v="2024"/>
    <x v="2"/>
    <s v="Q2"/>
    <n v="32"/>
    <n v="21.88"/>
    <n v="700.16"/>
  </r>
  <r>
    <x v="3"/>
    <x v="0"/>
    <x v="9"/>
    <x v="0"/>
    <s v="Computers"/>
    <x v="70"/>
    <n v="2024"/>
    <x v="4"/>
    <s v="Q4"/>
    <n v="33"/>
    <n v="38.380000000000003"/>
    <n v="1266.54"/>
  </r>
  <r>
    <x v="3"/>
    <x v="5"/>
    <x v="11"/>
    <x v="0"/>
    <s v="Computers"/>
    <x v="71"/>
    <n v="2024"/>
    <x v="6"/>
    <s v="Q2"/>
    <n v="7"/>
    <n v="476.2"/>
    <n v="3333.4"/>
  </r>
  <r>
    <x v="3"/>
    <x v="5"/>
    <x v="8"/>
    <x v="1"/>
    <s v="Stationery"/>
    <x v="72"/>
    <n v="2024"/>
    <x v="11"/>
    <s v="Q4"/>
    <n v="10"/>
    <n v="461.35"/>
    <n v="4613.5"/>
  </r>
  <r>
    <x v="3"/>
    <x v="6"/>
    <x v="6"/>
    <x v="1"/>
    <s v="Stationery"/>
    <x v="73"/>
    <n v="2024"/>
    <x v="10"/>
    <s v="Q1"/>
    <n v="26"/>
    <n v="227.57"/>
    <n v="5916.82"/>
  </r>
  <r>
    <x v="3"/>
    <x v="0"/>
    <x v="1"/>
    <x v="1"/>
    <s v="Furniture"/>
    <x v="74"/>
    <n v="2024"/>
    <x v="7"/>
    <s v="Q1"/>
    <n v="20"/>
    <n v="333.89"/>
    <n v="6677.8"/>
  </r>
  <r>
    <x v="3"/>
    <x v="7"/>
    <x v="9"/>
    <x v="0"/>
    <s v="Computers"/>
    <x v="75"/>
    <n v="2024"/>
    <x v="6"/>
    <s v="Q2"/>
    <n v="6"/>
    <n v="178.98"/>
    <n v="1073.8800000000001"/>
  </r>
  <r>
    <x v="3"/>
    <x v="2"/>
    <x v="10"/>
    <x v="1"/>
    <s v="Furniture"/>
    <x v="76"/>
    <n v="2024"/>
    <x v="8"/>
    <s v="Q3"/>
    <n v="6"/>
    <n v="29.38"/>
    <n v="176.28"/>
  </r>
  <r>
    <x v="3"/>
    <x v="5"/>
    <x v="9"/>
    <x v="0"/>
    <s v="Computers"/>
    <x v="77"/>
    <n v="2024"/>
    <x v="7"/>
    <s v="Q1"/>
    <n v="27"/>
    <n v="127.77"/>
    <n v="3449.79"/>
  </r>
  <r>
    <x v="3"/>
    <x v="7"/>
    <x v="0"/>
    <x v="1"/>
    <s v="Stationery"/>
    <x v="78"/>
    <n v="2024"/>
    <x v="6"/>
    <s v="Q2"/>
    <n v="13"/>
    <n v="374.91"/>
    <n v="4873.83"/>
  </r>
  <r>
    <x v="3"/>
    <x v="0"/>
    <x v="11"/>
    <x v="2"/>
    <s v="Cables"/>
    <x v="79"/>
    <n v="2024"/>
    <x v="6"/>
    <s v="Q2"/>
    <n v="20"/>
    <n v="6.87"/>
    <n v="137.4"/>
  </r>
  <r>
    <x v="3"/>
    <x v="2"/>
    <x v="10"/>
    <x v="1"/>
    <s v="Stationery"/>
    <x v="60"/>
    <n v="2024"/>
    <x v="8"/>
    <s v="Q3"/>
    <n v="17"/>
    <n v="457.2"/>
    <n v="7772.4"/>
  </r>
  <r>
    <x v="3"/>
    <x v="5"/>
    <x v="4"/>
    <x v="0"/>
    <s v="Accessories"/>
    <x v="80"/>
    <n v="2024"/>
    <x v="6"/>
    <s v="Q2"/>
    <n v="10"/>
    <n v="305.58999999999997"/>
    <n v="3055.9"/>
  </r>
  <r>
    <x v="3"/>
    <x v="0"/>
    <x v="4"/>
    <x v="2"/>
    <s v="Cables"/>
    <x v="62"/>
    <n v="2024"/>
    <x v="8"/>
    <s v="Q3"/>
    <n v="11"/>
    <n v="127.42"/>
    <n v="1401.62"/>
  </r>
  <r>
    <x v="3"/>
    <x v="2"/>
    <x v="4"/>
    <x v="0"/>
    <s v="Computers"/>
    <x v="81"/>
    <n v="2024"/>
    <x v="5"/>
    <s v="Q1"/>
    <n v="17"/>
    <n v="314.18"/>
    <n v="5341.06"/>
  </r>
  <r>
    <x v="3"/>
    <x v="1"/>
    <x v="0"/>
    <x v="3"/>
    <s v="Drives"/>
    <x v="82"/>
    <n v="2024"/>
    <x v="2"/>
    <s v="Q2"/>
    <n v="9"/>
    <n v="211.34"/>
    <n v="1902.0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7C8540C-0BC9-4A2F-AB1A-1F86C14F47B5}"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L3:M12" firstHeaderRow="1" firstDataRow="1" firstDataCol="1"/>
  <pivotFields count="14">
    <pivotField showAll="0">
      <items count="5">
        <item x="0"/>
        <item x="1"/>
        <item x="2"/>
        <item x="3"/>
        <item t="default"/>
      </items>
    </pivotField>
    <pivotField axis="axisRow" showAll="0">
      <items count="9">
        <item x="3"/>
        <item x="0"/>
        <item x="6"/>
        <item x="2"/>
        <item x="7"/>
        <item x="1"/>
        <item x="5"/>
        <item x="4"/>
        <item t="default"/>
      </items>
    </pivotField>
    <pivotField showAll="0"/>
    <pivotField showAll="0">
      <items count="5">
        <item x="0"/>
        <item x="2"/>
        <item x="1"/>
        <item x="3"/>
        <item t="default"/>
      </items>
    </pivotField>
    <pivotField showAll="0"/>
    <pivotField dataField="1" numFmtId="14" showAll="0">
      <items count="84">
        <item x="68"/>
        <item x="10"/>
        <item x="30"/>
        <item x="26"/>
        <item x="37"/>
        <item x="46"/>
        <item x="74"/>
        <item x="77"/>
        <item x="81"/>
        <item x="66"/>
        <item x="16"/>
        <item x="6"/>
        <item x="59"/>
        <item x="38"/>
        <item x="33"/>
        <item x="8"/>
        <item x="64"/>
        <item x="34"/>
        <item x="73"/>
        <item x="52"/>
        <item x="14"/>
        <item x="29"/>
        <item x="54"/>
        <item x="82"/>
        <item x="28"/>
        <item x="49"/>
        <item x="2"/>
        <item x="23"/>
        <item x="56"/>
        <item x="21"/>
        <item x="45"/>
        <item x="69"/>
        <item x="22"/>
        <item x="40"/>
        <item x="80"/>
        <item x="41"/>
        <item x="78"/>
        <item x="75"/>
        <item x="36"/>
        <item x="71"/>
        <item x="79"/>
        <item x="9"/>
        <item x="0"/>
        <item x="55"/>
        <item x="61"/>
        <item x="76"/>
        <item x="60"/>
        <item x="17"/>
        <item x="57"/>
        <item x="43"/>
        <item x="62"/>
        <item x="11"/>
        <item x="13"/>
        <item x="53"/>
        <item x="51"/>
        <item x="50"/>
        <item x="15"/>
        <item x="4"/>
        <item x="65"/>
        <item x="18"/>
        <item x="39"/>
        <item x="7"/>
        <item x="27"/>
        <item x="48"/>
        <item x="31"/>
        <item x="32"/>
        <item x="1"/>
        <item x="19"/>
        <item x="3"/>
        <item x="72"/>
        <item x="35"/>
        <item x="24"/>
        <item x="25"/>
        <item x="63"/>
        <item x="47"/>
        <item x="44"/>
        <item x="67"/>
        <item x="12"/>
        <item x="42"/>
        <item x="20"/>
        <item x="5"/>
        <item x="58"/>
        <item x="70"/>
        <item t="default"/>
      </items>
    </pivotField>
    <pivotField showAll="0"/>
    <pivotField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
  </rowFields>
  <rowItems count="9">
    <i>
      <x/>
    </i>
    <i>
      <x v="1"/>
    </i>
    <i>
      <x v="2"/>
    </i>
    <i>
      <x v="3"/>
    </i>
    <i>
      <x v="4"/>
    </i>
    <i>
      <x v="5"/>
    </i>
    <i>
      <x v="6"/>
    </i>
    <i>
      <x v="7"/>
    </i>
    <i t="grand">
      <x/>
    </i>
  </rowItems>
  <colItems count="1">
    <i/>
  </colItems>
  <dataFields count="1">
    <dataField name="Total Orders" fld="5" subtotal="count" baseField="1" baseItem="0" numFmtId="3"/>
  </dataFields>
  <formats count="16">
    <format dxfId="578">
      <pivotArea type="all" dataOnly="0" outline="0" fieldPosition="0"/>
    </format>
    <format dxfId="577">
      <pivotArea outline="0" collapsedLevelsAreSubtotals="1" fieldPosition="0"/>
    </format>
    <format dxfId="576">
      <pivotArea field="0" type="button" dataOnly="0" labelOnly="1" outline="0"/>
    </format>
    <format dxfId="575">
      <pivotArea dataOnly="0" labelOnly="1" grandRow="1" outline="0" fieldPosition="0"/>
    </format>
    <format dxfId="574">
      <pivotArea dataOnly="0" labelOnly="1" outline="0" axis="axisValues" fieldPosition="0"/>
    </format>
    <format dxfId="573">
      <pivotArea type="all" dataOnly="0" outline="0" fieldPosition="0"/>
    </format>
    <format dxfId="572">
      <pivotArea outline="0" collapsedLevelsAreSubtotals="1" fieldPosition="0"/>
    </format>
    <format dxfId="571">
      <pivotArea field="0" type="button" dataOnly="0" labelOnly="1" outline="0"/>
    </format>
    <format dxfId="570">
      <pivotArea dataOnly="0" labelOnly="1" grandRow="1" outline="0" fieldPosition="0"/>
    </format>
    <format dxfId="569">
      <pivotArea dataOnly="0" labelOnly="1" outline="0" axis="axisValues" fieldPosition="0"/>
    </format>
    <format dxfId="568">
      <pivotArea type="all" dataOnly="0" outline="0" fieldPosition="0"/>
    </format>
    <format dxfId="567">
      <pivotArea outline="0" collapsedLevelsAreSubtotals="1" fieldPosition="0"/>
    </format>
    <format dxfId="566">
      <pivotArea field="0" type="button" dataOnly="0" labelOnly="1" outline="0"/>
    </format>
    <format dxfId="565">
      <pivotArea dataOnly="0" labelOnly="1" grandRow="1" outline="0" fieldPosition="0"/>
    </format>
    <format dxfId="564">
      <pivotArea dataOnly="0" labelOnly="1" outline="0" axis="axisValues" fieldPosition="0"/>
    </format>
    <format dxfId="563">
      <pivotArea outline="0" collapsedLevelsAreSubtotals="1" fieldPosition="0"/>
    </format>
  </formats>
  <pivotTableStyleInfo name="PivotStyleDark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25924E0-41A8-4744-949C-E833345247B8}"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L3:AM12" firstHeaderRow="1" firstDataRow="1" firstDataCol="1"/>
  <pivotFields count="14">
    <pivotField showAll="0">
      <items count="5">
        <item x="0"/>
        <item x="1"/>
        <item x="2"/>
        <item x="3"/>
        <item t="default"/>
      </items>
    </pivotField>
    <pivotField axis="axisRow" showAll="0">
      <items count="9">
        <item x="3"/>
        <item x="0"/>
        <item x="6"/>
        <item x="2"/>
        <item x="7"/>
        <item x="1"/>
        <item x="5"/>
        <item x="4"/>
        <item t="default"/>
      </items>
    </pivotField>
    <pivotField showAll="0"/>
    <pivotField showAll="0">
      <items count="5">
        <item x="0"/>
        <item x="2"/>
        <item x="1"/>
        <item x="3"/>
        <item t="default"/>
      </items>
    </pivotField>
    <pivotField showAll="0"/>
    <pivotField numFmtId="14" showAll="0">
      <items count="84">
        <item x="68"/>
        <item x="10"/>
        <item x="30"/>
        <item x="26"/>
        <item x="37"/>
        <item x="46"/>
        <item x="74"/>
        <item x="77"/>
        <item x="81"/>
        <item x="66"/>
        <item x="16"/>
        <item x="6"/>
        <item x="59"/>
        <item x="38"/>
        <item x="33"/>
        <item x="8"/>
        <item x="64"/>
        <item x="34"/>
        <item x="73"/>
        <item x="52"/>
        <item x="14"/>
        <item x="29"/>
        <item x="54"/>
        <item x="82"/>
        <item x="28"/>
        <item x="49"/>
        <item x="2"/>
        <item x="23"/>
        <item x="56"/>
        <item x="21"/>
        <item x="45"/>
        <item x="69"/>
        <item x="22"/>
        <item x="40"/>
        <item x="80"/>
        <item x="41"/>
        <item x="78"/>
        <item x="75"/>
        <item x="36"/>
        <item x="71"/>
        <item x="79"/>
        <item x="9"/>
        <item x="0"/>
        <item x="55"/>
        <item x="61"/>
        <item x="76"/>
        <item x="60"/>
        <item x="17"/>
        <item x="57"/>
        <item x="43"/>
        <item x="62"/>
        <item x="11"/>
        <item x="13"/>
        <item x="53"/>
        <item x="51"/>
        <item x="50"/>
        <item x="15"/>
        <item x="4"/>
        <item x="65"/>
        <item x="18"/>
        <item x="39"/>
        <item x="7"/>
        <item x="27"/>
        <item x="48"/>
        <item x="31"/>
        <item x="32"/>
        <item x="1"/>
        <item x="19"/>
        <item x="3"/>
        <item x="72"/>
        <item x="35"/>
        <item x="24"/>
        <item x="25"/>
        <item x="63"/>
        <item x="47"/>
        <item x="44"/>
        <item x="67"/>
        <item x="12"/>
        <item x="42"/>
        <item x="20"/>
        <item x="5"/>
        <item x="58"/>
        <item x="70"/>
        <item t="default"/>
      </items>
    </pivotField>
    <pivotField showAll="0"/>
    <pivotField showAll="0">
      <items count="13">
        <item x="7"/>
        <item x="5"/>
        <item x="10"/>
        <item x="2"/>
        <item x="6"/>
        <item x="0"/>
        <item x="8"/>
        <item x="3"/>
        <item x="1"/>
        <item x="11"/>
        <item x="9"/>
        <item x="4"/>
        <item t="default"/>
      </items>
    </pivotField>
    <pivotField showAll="0"/>
    <pivotField showAll="0"/>
    <pivotField showAll="0"/>
    <pivotField dataField="1"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1"/>
  </rowFields>
  <rowItems count="9">
    <i>
      <x/>
    </i>
    <i>
      <x v="1"/>
    </i>
    <i>
      <x v="2"/>
    </i>
    <i>
      <x v="3"/>
    </i>
    <i>
      <x v="4"/>
    </i>
    <i>
      <x v="5"/>
    </i>
    <i>
      <x v="6"/>
    </i>
    <i>
      <x v="7"/>
    </i>
    <i t="grand">
      <x/>
    </i>
  </rowItems>
  <colItems count="1">
    <i/>
  </colItems>
  <dataFields count="1">
    <dataField name="Sum of Total Sales" fld="11" baseField="0" baseItem="0" numFmtId="164"/>
  </dataFields>
  <formats count="16">
    <format dxfId="594">
      <pivotArea type="all" dataOnly="0" outline="0" fieldPosition="0"/>
    </format>
    <format dxfId="593">
      <pivotArea outline="0" collapsedLevelsAreSubtotals="1" fieldPosition="0"/>
    </format>
    <format dxfId="592">
      <pivotArea field="0" type="button" dataOnly="0" labelOnly="1" outline="0"/>
    </format>
    <format dxfId="591">
      <pivotArea dataOnly="0" labelOnly="1" grandRow="1" outline="0" fieldPosition="0"/>
    </format>
    <format dxfId="590">
      <pivotArea dataOnly="0" labelOnly="1" outline="0" axis="axisValues" fieldPosition="0"/>
    </format>
    <format dxfId="589">
      <pivotArea type="all" dataOnly="0" outline="0" fieldPosition="0"/>
    </format>
    <format dxfId="588">
      <pivotArea outline="0" collapsedLevelsAreSubtotals="1" fieldPosition="0"/>
    </format>
    <format dxfId="587">
      <pivotArea field="0" type="button" dataOnly="0" labelOnly="1" outline="0"/>
    </format>
    <format dxfId="586">
      <pivotArea dataOnly="0" labelOnly="1" grandRow="1" outline="0" fieldPosition="0"/>
    </format>
    <format dxfId="585">
      <pivotArea dataOnly="0" labelOnly="1" outline="0" axis="axisValues" fieldPosition="0"/>
    </format>
    <format dxfId="584">
      <pivotArea type="all" dataOnly="0" outline="0" fieldPosition="0"/>
    </format>
    <format dxfId="583">
      <pivotArea outline="0" collapsedLevelsAreSubtotals="1" fieldPosition="0"/>
    </format>
    <format dxfId="582">
      <pivotArea field="0" type="button" dataOnly="0" labelOnly="1" outline="0"/>
    </format>
    <format dxfId="581">
      <pivotArea dataOnly="0" labelOnly="1" grandRow="1" outline="0" fieldPosition="0"/>
    </format>
    <format dxfId="580">
      <pivotArea dataOnly="0" labelOnly="1" outline="0" axis="axisValues" fieldPosition="0"/>
    </format>
    <format dxfId="579">
      <pivotArea outline="0" collapsedLevelsAreSubtotals="1" fieldPosition="0"/>
    </format>
  </formats>
  <chartFormats count="4">
    <chartFormat chart="6" format="0" series="1">
      <pivotArea type="data" outline="0" fieldPosition="0">
        <references count="1">
          <reference field="4294967294" count="1" selected="0">
            <x v="0"/>
          </reference>
        </references>
      </pivotArea>
    </chartFormat>
    <chartFormat chart="11" format="1"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 chart="17" format="3" series="1">
      <pivotArea type="data" outline="0" fieldPosition="0">
        <references count="1">
          <reference field="4294967294" count="1" selected="0">
            <x v="0"/>
          </reference>
        </references>
      </pivotArea>
    </chartFormat>
  </chartFormats>
  <pivotTableStyleInfo name="PivotStyleDark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C83E5A8-81A9-4327-9550-35D3C0E8F650}" name="PivotTable3"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G3:H16" firstHeaderRow="1" firstDataRow="1" firstDataCol="1"/>
  <pivotFields count="14">
    <pivotField showAll="0" sortType="descending">
      <items count="5">
        <item x="0"/>
        <item x="1"/>
        <item x="2"/>
        <item x="3"/>
        <item t="default"/>
      </items>
      <autoSortScope>
        <pivotArea dataOnly="0" outline="0" fieldPosition="0">
          <references count="1">
            <reference field="4294967294" count="1" selected="0">
              <x v="0"/>
            </reference>
          </references>
        </pivotArea>
      </autoSortScope>
    </pivotField>
    <pivotField showAll="0" sortType="descending">
      <items count="9">
        <item x="3"/>
        <item x="0"/>
        <item x="6"/>
        <item x="2"/>
        <item x="7"/>
        <item x="1"/>
        <item x="5"/>
        <item x="4"/>
        <item t="default"/>
      </items>
      <autoSortScope>
        <pivotArea dataOnly="0" outline="0" fieldPosition="0">
          <references count="1">
            <reference field="4294967294" count="1" selected="0">
              <x v="0"/>
            </reference>
          </references>
        </pivotArea>
      </autoSortScope>
    </pivotField>
    <pivotField axis="axisRow" showAll="0" sortType="descending">
      <items count="13">
        <item x="3"/>
        <item x="5"/>
        <item x="10"/>
        <item x="11"/>
        <item x="1"/>
        <item x="7"/>
        <item x="2"/>
        <item x="4"/>
        <item x="0"/>
        <item x="8"/>
        <item x="9"/>
        <item x="6"/>
        <item t="default"/>
      </items>
      <autoSortScope>
        <pivotArea dataOnly="0" outline="0" fieldPosition="0">
          <references count="1">
            <reference field="4294967294" count="1" selected="0">
              <x v="0"/>
            </reference>
          </references>
        </pivotArea>
      </autoSortScope>
    </pivotField>
    <pivotField showAll="0">
      <items count="5">
        <item x="0"/>
        <item x="2"/>
        <item x="1"/>
        <item x="3"/>
        <item t="default"/>
      </items>
    </pivotField>
    <pivotField showAll="0"/>
    <pivotField numFmtId="14" showAll="0">
      <items count="84">
        <item x="68"/>
        <item x="10"/>
        <item x="30"/>
        <item x="26"/>
        <item x="37"/>
        <item x="46"/>
        <item x="74"/>
        <item x="77"/>
        <item x="81"/>
        <item x="66"/>
        <item x="16"/>
        <item x="6"/>
        <item x="59"/>
        <item x="38"/>
        <item x="33"/>
        <item x="8"/>
        <item x="64"/>
        <item x="34"/>
        <item x="73"/>
        <item x="52"/>
        <item x="14"/>
        <item x="29"/>
        <item x="54"/>
        <item x="82"/>
        <item x="28"/>
        <item x="49"/>
        <item x="2"/>
        <item x="23"/>
        <item x="56"/>
        <item x="21"/>
        <item x="45"/>
        <item x="69"/>
        <item x="22"/>
        <item x="40"/>
        <item x="80"/>
        <item x="41"/>
        <item x="78"/>
        <item x="75"/>
        <item x="36"/>
        <item x="71"/>
        <item x="79"/>
        <item x="9"/>
        <item x="0"/>
        <item x="55"/>
        <item x="61"/>
        <item x="76"/>
        <item x="60"/>
        <item x="17"/>
        <item x="57"/>
        <item x="43"/>
        <item x="62"/>
        <item x="11"/>
        <item x="13"/>
        <item x="53"/>
        <item x="51"/>
        <item x="50"/>
        <item x="15"/>
        <item x="4"/>
        <item x="65"/>
        <item x="18"/>
        <item x="39"/>
        <item x="7"/>
        <item x="27"/>
        <item x="48"/>
        <item x="31"/>
        <item x="32"/>
        <item x="1"/>
        <item x="19"/>
        <item x="3"/>
        <item x="72"/>
        <item x="35"/>
        <item x="24"/>
        <item x="25"/>
        <item x="63"/>
        <item x="47"/>
        <item x="44"/>
        <item x="67"/>
        <item x="12"/>
        <item x="42"/>
        <item x="20"/>
        <item x="5"/>
        <item x="58"/>
        <item x="70"/>
        <item t="default"/>
      </items>
    </pivotField>
    <pivotField showAll="0"/>
    <pivotField showAll="0"/>
    <pivotField showAll="0"/>
    <pivotField showAll="0"/>
    <pivotField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13">
    <i>
      <x v="7"/>
    </i>
    <i>
      <x v="4"/>
    </i>
    <i>
      <x v="9"/>
    </i>
    <i>
      <x v="10"/>
    </i>
    <i>
      <x v="11"/>
    </i>
    <i>
      <x v="5"/>
    </i>
    <i>
      <x v="2"/>
    </i>
    <i>
      <x v="8"/>
    </i>
    <i>
      <x v="3"/>
    </i>
    <i>
      <x/>
    </i>
    <i>
      <x v="1"/>
    </i>
    <i>
      <x v="6"/>
    </i>
    <i t="grand">
      <x/>
    </i>
  </rowItems>
  <colItems count="1">
    <i/>
  </colItems>
  <dataFields count="1">
    <dataField name="Sum of Total Sales" fld="11" baseField="0" baseItem="0" numFmtId="164"/>
  </dataFields>
  <formats count="16">
    <format dxfId="610">
      <pivotArea type="all" dataOnly="0" outline="0" fieldPosition="0"/>
    </format>
    <format dxfId="609">
      <pivotArea outline="0" collapsedLevelsAreSubtotals="1" fieldPosition="0"/>
    </format>
    <format dxfId="608">
      <pivotArea field="0" type="button" dataOnly="0" labelOnly="1" outline="0"/>
    </format>
    <format dxfId="607">
      <pivotArea dataOnly="0" labelOnly="1" grandRow="1" outline="0" fieldPosition="0"/>
    </format>
    <format dxfId="606">
      <pivotArea dataOnly="0" labelOnly="1" outline="0" axis="axisValues" fieldPosition="0"/>
    </format>
    <format dxfId="605">
      <pivotArea type="all" dataOnly="0" outline="0" fieldPosition="0"/>
    </format>
    <format dxfId="604">
      <pivotArea outline="0" collapsedLevelsAreSubtotals="1" fieldPosition="0"/>
    </format>
    <format dxfId="603">
      <pivotArea field="0" type="button" dataOnly="0" labelOnly="1" outline="0"/>
    </format>
    <format dxfId="602">
      <pivotArea dataOnly="0" labelOnly="1" grandRow="1" outline="0" fieldPosition="0"/>
    </format>
    <format dxfId="601">
      <pivotArea dataOnly="0" labelOnly="1" outline="0" axis="axisValues" fieldPosition="0"/>
    </format>
    <format dxfId="600">
      <pivotArea type="all" dataOnly="0" outline="0" fieldPosition="0"/>
    </format>
    <format dxfId="599">
      <pivotArea outline="0" collapsedLevelsAreSubtotals="1" fieldPosition="0"/>
    </format>
    <format dxfId="598">
      <pivotArea field="0" type="button" dataOnly="0" labelOnly="1" outline="0"/>
    </format>
    <format dxfId="597">
      <pivotArea dataOnly="0" labelOnly="1" grandRow="1" outline="0" fieldPosition="0"/>
    </format>
    <format dxfId="596">
      <pivotArea dataOnly="0" labelOnly="1" outline="0" axis="axisValues" fieldPosition="0"/>
    </format>
    <format dxfId="595">
      <pivotArea outline="0" collapsedLevelsAreSubtotals="1" fieldPosition="0"/>
    </format>
  </formats>
  <pivotTableStyleInfo name="PivotStyleDark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FE3DDDF-3235-4533-B60F-05F45912A15C}"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C3:AD16" firstHeaderRow="1" firstDataRow="1" firstDataCol="1"/>
  <pivotFields count="14">
    <pivotField showAll="0">
      <items count="5">
        <item x="0"/>
        <item x="1"/>
        <item x="2"/>
        <item x="3"/>
        <item t="default"/>
      </items>
    </pivotField>
    <pivotField showAll="0">
      <items count="9">
        <item x="3"/>
        <item x="0"/>
        <item x="6"/>
        <item x="2"/>
        <item x="7"/>
        <item x="1"/>
        <item x="5"/>
        <item x="4"/>
        <item t="default"/>
      </items>
    </pivotField>
    <pivotField showAll="0"/>
    <pivotField showAll="0">
      <items count="5">
        <item x="0"/>
        <item x="2"/>
        <item x="1"/>
        <item x="3"/>
        <item t="default"/>
      </items>
    </pivotField>
    <pivotField showAll="0"/>
    <pivotField numFmtId="14" showAll="0">
      <items count="84">
        <item x="68"/>
        <item x="10"/>
        <item x="30"/>
        <item x="26"/>
        <item x="37"/>
        <item x="46"/>
        <item x="74"/>
        <item x="77"/>
        <item x="81"/>
        <item x="66"/>
        <item x="16"/>
        <item x="6"/>
        <item x="59"/>
        <item x="38"/>
        <item x="33"/>
        <item x="8"/>
        <item x="64"/>
        <item x="34"/>
        <item x="73"/>
        <item x="52"/>
        <item x="14"/>
        <item x="29"/>
        <item x="54"/>
        <item x="82"/>
        <item x="28"/>
        <item x="49"/>
        <item x="2"/>
        <item x="23"/>
        <item x="56"/>
        <item x="21"/>
        <item x="45"/>
        <item x="69"/>
        <item x="22"/>
        <item x="40"/>
        <item x="80"/>
        <item x="41"/>
        <item x="78"/>
        <item x="75"/>
        <item x="36"/>
        <item x="71"/>
        <item x="79"/>
        <item x="9"/>
        <item x="0"/>
        <item x="55"/>
        <item x="61"/>
        <item x="76"/>
        <item x="60"/>
        <item x="17"/>
        <item x="57"/>
        <item x="43"/>
        <item x="62"/>
        <item x="11"/>
        <item x="13"/>
        <item x="53"/>
        <item x="51"/>
        <item x="50"/>
        <item x="15"/>
        <item x="4"/>
        <item x="65"/>
        <item x="18"/>
        <item x="39"/>
        <item x="7"/>
        <item x="27"/>
        <item x="48"/>
        <item x="31"/>
        <item x="32"/>
        <item x="1"/>
        <item x="19"/>
        <item x="3"/>
        <item x="72"/>
        <item x="35"/>
        <item x="24"/>
        <item x="25"/>
        <item x="63"/>
        <item x="47"/>
        <item x="44"/>
        <item x="67"/>
        <item x="12"/>
        <item x="42"/>
        <item x="20"/>
        <item x="5"/>
        <item x="58"/>
        <item x="70"/>
        <item t="default"/>
      </items>
    </pivotField>
    <pivotField showAll="0"/>
    <pivotField axis="axisRow" showAll="0">
      <items count="13">
        <item x="7"/>
        <item x="5"/>
        <item x="10"/>
        <item x="2"/>
        <item x="6"/>
        <item x="0"/>
        <item x="8"/>
        <item x="3"/>
        <item x="1"/>
        <item x="11"/>
        <item x="9"/>
        <item x="4"/>
        <item t="default"/>
      </items>
    </pivotField>
    <pivotField showAll="0"/>
    <pivotField showAll="0"/>
    <pivotField showAll="0"/>
    <pivotField dataField="1"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7"/>
  </rowFields>
  <rowItems count="13">
    <i>
      <x/>
    </i>
    <i>
      <x v="1"/>
    </i>
    <i>
      <x v="2"/>
    </i>
    <i>
      <x v="3"/>
    </i>
    <i>
      <x v="4"/>
    </i>
    <i>
      <x v="5"/>
    </i>
    <i>
      <x v="6"/>
    </i>
    <i>
      <x v="7"/>
    </i>
    <i>
      <x v="8"/>
    </i>
    <i>
      <x v="9"/>
    </i>
    <i>
      <x v="10"/>
    </i>
    <i>
      <x v="11"/>
    </i>
    <i t="grand">
      <x/>
    </i>
  </rowItems>
  <colItems count="1">
    <i/>
  </colItems>
  <dataFields count="1">
    <dataField name="Sum of Total Sales" fld="11" baseField="0" baseItem="0" numFmtId="164"/>
  </dataFields>
  <formats count="16">
    <format dxfId="626">
      <pivotArea type="all" dataOnly="0" outline="0" fieldPosition="0"/>
    </format>
    <format dxfId="625">
      <pivotArea outline="0" collapsedLevelsAreSubtotals="1" fieldPosition="0"/>
    </format>
    <format dxfId="624">
      <pivotArea field="0" type="button" dataOnly="0" labelOnly="1" outline="0"/>
    </format>
    <format dxfId="623">
      <pivotArea dataOnly="0" labelOnly="1" grandRow="1" outline="0" fieldPosition="0"/>
    </format>
    <format dxfId="622">
      <pivotArea dataOnly="0" labelOnly="1" outline="0" axis="axisValues" fieldPosition="0"/>
    </format>
    <format dxfId="621">
      <pivotArea type="all" dataOnly="0" outline="0" fieldPosition="0"/>
    </format>
    <format dxfId="620">
      <pivotArea outline="0" collapsedLevelsAreSubtotals="1" fieldPosition="0"/>
    </format>
    <format dxfId="619">
      <pivotArea field="0" type="button" dataOnly="0" labelOnly="1" outline="0"/>
    </format>
    <format dxfId="618">
      <pivotArea dataOnly="0" labelOnly="1" grandRow="1" outline="0" fieldPosition="0"/>
    </format>
    <format dxfId="617">
      <pivotArea dataOnly="0" labelOnly="1" outline="0" axis="axisValues" fieldPosition="0"/>
    </format>
    <format dxfId="616">
      <pivotArea type="all" dataOnly="0" outline="0" fieldPosition="0"/>
    </format>
    <format dxfId="615">
      <pivotArea outline="0" collapsedLevelsAreSubtotals="1" fieldPosition="0"/>
    </format>
    <format dxfId="614">
      <pivotArea field="0" type="button" dataOnly="0" labelOnly="1" outline="0"/>
    </format>
    <format dxfId="613">
      <pivotArea dataOnly="0" labelOnly="1" grandRow="1" outline="0" fieldPosition="0"/>
    </format>
    <format dxfId="612">
      <pivotArea dataOnly="0" labelOnly="1" outline="0" axis="axisValues" fieldPosition="0"/>
    </format>
    <format dxfId="611">
      <pivotArea outline="0" collapsedLevelsAreSubtotals="1" fieldPosition="0"/>
    </format>
  </formats>
  <chartFormats count="27">
    <chartFormat chart="6" format="50" series="1">
      <pivotArea type="data" outline="0" fieldPosition="0">
        <references count="1">
          <reference field="4294967294" count="1" selected="0">
            <x v="0"/>
          </reference>
        </references>
      </pivotArea>
    </chartFormat>
    <chartFormat chart="2" format="24" series="1">
      <pivotArea type="data" outline="0" fieldPosition="0">
        <references count="1">
          <reference field="4294967294" count="1" selected="0">
            <x v="0"/>
          </reference>
        </references>
      </pivotArea>
    </chartFormat>
    <chartFormat chart="6" format="51">
      <pivotArea type="data" outline="0" fieldPosition="0">
        <references count="2">
          <reference field="4294967294" count="1" selected="0">
            <x v="0"/>
          </reference>
          <reference field="7" count="1" selected="0">
            <x v="0"/>
          </reference>
        </references>
      </pivotArea>
    </chartFormat>
    <chartFormat chart="6" format="52">
      <pivotArea type="data" outline="0" fieldPosition="0">
        <references count="2">
          <reference field="4294967294" count="1" selected="0">
            <x v="0"/>
          </reference>
          <reference field="7" count="1" selected="0">
            <x v="1"/>
          </reference>
        </references>
      </pivotArea>
    </chartFormat>
    <chartFormat chart="6" format="53">
      <pivotArea type="data" outline="0" fieldPosition="0">
        <references count="2">
          <reference field="4294967294" count="1" selected="0">
            <x v="0"/>
          </reference>
          <reference field="7" count="1" selected="0">
            <x v="2"/>
          </reference>
        </references>
      </pivotArea>
    </chartFormat>
    <chartFormat chart="6" format="54">
      <pivotArea type="data" outline="0" fieldPosition="0">
        <references count="2">
          <reference field="4294967294" count="1" selected="0">
            <x v="0"/>
          </reference>
          <reference field="7" count="1" selected="0">
            <x v="3"/>
          </reference>
        </references>
      </pivotArea>
    </chartFormat>
    <chartFormat chart="6" format="55">
      <pivotArea type="data" outline="0" fieldPosition="0">
        <references count="2">
          <reference field="4294967294" count="1" selected="0">
            <x v="0"/>
          </reference>
          <reference field="7" count="1" selected="0">
            <x v="4"/>
          </reference>
        </references>
      </pivotArea>
    </chartFormat>
    <chartFormat chart="6" format="56">
      <pivotArea type="data" outline="0" fieldPosition="0">
        <references count="2">
          <reference field="4294967294" count="1" selected="0">
            <x v="0"/>
          </reference>
          <reference field="7" count="1" selected="0">
            <x v="5"/>
          </reference>
        </references>
      </pivotArea>
    </chartFormat>
    <chartFormat chart="6" format="57">
      <pivotArea type="data" outline="0" fieldPosition="0">
        <references count="2">
          <reference field="4294967294" count="1" selected="0">
            <x v="0"/>
          </reference>
          <reference field="7" count="1" selected="0">
            <x v="6"/>
          </reference>
        </references>
      </pivotArea>
    </chartFormat>
    <chartFormat chart="6" format="58">
      <pivotArea type="data" outline="0" fieldPosition="0">
        <references count="2">
          <reference field="4294967294" count="1" selected="0">
            <x v="0"/>
          </reference>
          <reference field="7" count="1" selected="0">
            <x v="7"/>
          </reference>
        </references>
      </pivotArea>
    </chartFormat>
    <chartFormat chart="6" format="59">
      <pivotArea type="data" outline="0" fieldPosition="0">
        <references count="2">
          <reference field="4294967294" count="1" selected="0">
            <x v="0"/>
          </reference>
          <reference field="7" count="1" selected="0">
            <x v="8"/>
          </reference>
        </references>
      </pivotArea>
    </chartFormat>
    <chartFormat chart="6" format="60">
      <pivotArea type="data" outline="0" fieldPosition="0">
        <references count="2">
          <reference field="4294967294" count="1" selected="0">
            <x v="0"/>
          </reference>
          <reference field="7" count="1" selected="0">
            <x v="9"/>
          </reference>
        </references>
      </pivotArea>
    </chartFormat>
    <chartFormat chart="6" format="61">
      <pivotArea type="data" outline="0" fieldPosition="0">
        <references count="2">
          <reference field="4294967294" count="1" selected="0">
            <x v="0"/>
          </reference>
          <reference field="7" count="1" selected="0">
            <x v="10"/>
          </reference>
        </references>
      </pivotArea>
    </chartFormat>
    <chartFormat chart="6" format="62">
      <pivotArea type="data" outline="0" fieldPosition="0">
        <references count="2">
          <reference field="4294967294" count="1" selected="0">
            <x v="0"/>
          </reference>
          <reference field="7" count="1" selected="0">
            <x v="11"/>
          </reference>
        </references>
      </pivotArea>
    </chartFormat>
    <chartFormat chart="9" format="63" series="1">
      <pivotArea type="data" outline="0" fieldPosition="0">
        <references count="1">
          <reference field="4294967294" count="1" selected="0">
            <x v="0"/>
          </reference>
        </references>
      </pivotArea>
    </chartFormat>
    <chartFormat chart="9" format="64">
      <pivotArea type="data" outline="0" fieldPosition="0">
        <references count="2">
          <reference field="4294967294" count="1" selected="0">
            <x v="0"/>
          </reference>
          <reference field="7" count="1" selected="0">
            <x v="0"/>
          </reference>
        </references>
      </pivotArea>
    </chartFormat>
    <chartFormat chart="9" format="65">
      <pivotArea type="data" outline="0" fieldPosition="0">
        <references count="2">
          <reference field="4294967294" count="1" selected="0">
            <x v="0"/>
          </reference>
          <reference field="7" count="1" selected="0">
            <x v="1"/>
          </reference>
        </references>
      </pivotArea>
    </chartFormat>
    <chartFormat chart="9" format="66">
      <pivotArea type="data" outline="0" fieldPosition="0">
        <references count="2">
          <reference field="4294967294" count="1" selected="0">
            <x v="0"/>
          </reference>
          <reference field="7" count="1" selected="0">
            <x v="2"/>
          </reference>
        </references>
      </pivotArea>
    </chartFormat>
    <chartFormat chart="9" format="67">
      <pivotArea type="data" outline="0" fieldPosition="0">
        <references count="2">
          <reference field="4294967294" count="1" selected="0">
            <x v="0"/>
          </reference>
          <reference field="7" count="1" selected="0">
            <x v="3"/>
          </reference>
        </references>
      </pivotArea>
    </chartFormat>
    <chartFormat chart="9" format="68">
      <pivotArea type="data" outline="0" fieldPosition="0">
        <references count="2">
          <reference field="4294967294" count="1" selected="0">
            <x v="0"/>
          </reference>
          <reference field="7" count="1" selected="0">
            <x v="4"/>
          </reference>
        </references>
      </pivotArea>
    </chartFormat>
    <chartFormat chart="9" format="69">
      <pivotArea type="data" outline="0" fieldPosition="0">
        <references count="2">
          <reference field="4294967294" count="1" selected="0">
            <x v="0"/>
          </reference>
          <reference field="7" count="1" selected="0">
            <x v="5"/>
          </reference>
        </references>
      </pivotArea>
    </chartFormat>
    <chartFormat chart="9" format="70">
      <pivotArea type="data" outline="0" fieldPosition="0">
        <references count="2">
          <reference field="4294967294" count="1" selected="0">
            <x v="0"/>
          </reference>
          <reference field="7" count="1" selected="0">
            <x v="6"/>
          </reference>
        </references>
      </pivotArea>
    </chartFormat>
    <chartFormat chart="9" format="71">
      <pivotArea type="data" outline="0" fieldPosition="0">
        <references count="2">
          <reference field="4294967294" count="1" selected="0">
            <x v="0"/>
          </reference>
          <reference field="7" count="1" selected="0">
            <x v="7"/>
          </reference>
        </references>
      </pivotArea>
    </chartFormat>
    <chartFormat chart="9" format="72">
      <pivotArea type="data" outline="0" fieldPosition="0">
        <references count="2">
          <reference field="4294967294" count="1" selected="0">
            <x v="0"/>
          </reference>
          <reference field="7" count="1" selected="0">
            <x v="8"/>
          </reference>
        </references>
      </pivotArea>
    </chartFormat>
    <chartFormat chart="9" format="73">
      <pivotArea type="data" outline="0" fieldPosition="0">
        <references count="2">
          <reference field="4294967294" count="1" selected="0">
            <x v="0"/>
          </reference>
          <reference field="7" count="1" selected="0">
            <x v="9"/>
          </reference>
        </references>
      </pivotArea>
    </chartFormat>
    <chartFormat chart="9" format="74">
      <pivotArea type="data" outline="0" fieldPosition="0">
        <references count="2">
          <reference field="4294967294" count="1" selected="0">
            <x v="0"/>
          </reference>
          <reference field="7" count="1" selected="0">
            <x v="10"/>
          </reference>
        </references>
      </pivotArea>
    </chartFormat>
    <chartFormat chart="9" format="75">
      <pivotArea type="data" outline="0" fieldPosition="0">
        <references count="2">
          <reference field="4294967294" count="1" selected="0">
            <x v="0"/>
          </reference>
          <reference field="7" count="1" selected="0">
            <x v="11"/>
          </reference>
        </references>
      </pivotArea>
    </chartFormat>
  </chartFormats>
  <pivotTableStyleInfo name="PivotStyleDark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8D09BC0-829E-4EE5-AC25-B23979427E8D}"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3:E12" firstHeaderRow="1" firstDataRow="1" firstDataCol="1"/>
  <pivotFields count="14">
    <pivotField showAll="0" sortType="descending">
      <items count="5">
        <item x="0"/>
        <item x="1"/>
        <item x="2"/>
        <item x="3"/>
        <item t="default"/>
      </items>
      <autoSortScope>
        <pivotArea dataOnly="0" outline="0" fieldPosition="0">
          <references count="1">
            <reference field="4294967294" count="1" selected="0">
              <x v="0"/>
            </reference>
          </references>
        </pivotArea>
      </autoSortScope>
    </pivotField>
    <pivotField axis="axisRow" showAll="0" sortType="descending">
      <items count="9">
        <item x="3"/>
        <item x="0"/>
        <item x="6"/>
        <item x="2"/>
        <item x="7"/>
        <item x="1"/>
        <item x="5"/>
        <item x="4"/>
        <item t="default"/>
      </items>
      <autoSortScope>
        <pivotArea dataOnly="0" outline="0" fieldPosition="0">
          <references count="1">
            <reference field="4294967294" count="1" selected="0">
              <x v="0"/>
            </reference>
          </references>
        </pivotArea>
      </autoSortScope>
    </pivotField>
    <pivotField showAll="0"/>
    <pivotField showAll="0">
      <items count="5">
        <item x="0"/>
        <item x="2"/>
        <item x="1"/>
        <item x="3"/>
        <item t="default"/>
      </items>
    </pivotField>
    <pivotField showAll="0"/>
    <pivotField numFmtId="14" showAll="0">
      <items count="84">
        <item x="68"/>
        <item x="10"/>
        <item x="30"/>
        <item x="26"/>
        <item x="37"/>
        <item x="46"/>
        <item x="74"/>
        <item x="77"/>
        <item x="81"/>
        <item x="66"/>
        <item x="16"/>
        <item x="6"/>
        <item x="59"/>
        <item x="38"/>
        <item x="33"/>
        <item x="8"/>
        <item x="64"/>
        <item x="34"/>
        <item x="73"/>
        <item x="52"/>
        <item x="14"/>
        <item x="29"/>
        <item x="54"/>
        <item x="82"/>
        <item x="28"/>
        <item x="49"/>
        <item x="2"/>
        <item x="23"/>
        <item x="56"/>
        <item x="21"/>
        <item x="45"/>
        <item x="69"/>
        <item x="22"/>
        <item x="40"/>
        <item x="80"/>
        <item x="41"/>
        <item x="78"/>
        <item x="75"/>
        <item x="36"/>
        <item x="71"/>
        <item x="79"/>
        <item x="9"/>
        <item x="0"/>
        <item x="55"/>
        <item x="61"/>
        <item x="76"/>
        <item x="60"/>
        <item x="17"/>
        <item x="57"/>
        <item x="43"/>
        <item x="62"/>
        <item x="11"/>
        <item x="13"/>
        <item x="53"/>
        <item x="51"/>
        <item x="50"/>
        <item x="15"/>
        <item x="4"/>
        <item x="65"/>
        <item x="18"/>
        <item x="39"/>
        <item x="7"/>
        <item x="27"/>
        <item x="48"/>
        <item x="31"/>
        <item x="32"/>
        <item x="1"/>
        <item x="19"/>
        <item x="3"/>
        <item x="72"/>
        <item x="35"/>
        <item x="24"/>
        <item x="25"/>
        <item x="63"/>
        <item x="47"/>
        <item x="44"/>
        <item x="67"/>
        <item x="12"/>
        <item x="42"/>
        <item x="20"/>
        <item x="5"/>
        <item x="58"/>
        <item x="70"/>
        <item t="default"/>
      </items>
    </pivotField>
    <pivotField showAll="0"/>
    <pivotField showAll="0"/>
    <pivotField showAll="0"/>
    <pivotField showAll="0"/>
    <pivotField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
  </rowFields>
  <rowItems count="9">
    <i>
      <x v="1"/>
    </i>
    <i>
      <x v="6"/>
    </i>
    <i>
      <x v="5"/>
    </i>
    <i>
      <x/>
    </i>
    <i>
      <x v="3"/>
    </i>
    <i>
      <x v="7"/>
    </i>
    <i>
      <x v="4"/>
    </i>
    <i>
      <x v="2"/>
    </i>
    <i t="grand">
      <x/>
    </i>
  </rowItems>
  <colItems count="1">
    <i/>
  </colItems>
  <dataFields count="1">
    <dataField name="Sum of Total Sales" fld="11" baseField="0" baseItem="0" numFmtId="164"/>
  </dataFields>
  <formats count="16">
    <format dxfId="642">
      <pivotArea type="all" dataOnly="0" outline="0" fieldPosition="0"/>
    </format>
    <format dxfId="641">
      <pivotArea outline="0" collapsedLevelsAreSubtotals="1" fieldPosition="0"/>
    </format>
    <format dxfId="640">
      <pivotArea field="0" type="button" dataOnly="0" labelOnly="1" outline="0"/>
    </format>
    <format dxfId="639">
      <pivotArea dataOnly="0" labelOnly="1" grandRow="1" outline="0" fieldPosition="0"/>
    </format>
    <format dxfId="638">
      <pivotArea dataOnly="0" labelOnly="1" outline="0" axis="axisValues" fieldPosition="0"/>
    </format>
    <format dxfId="637">
      <pivotArea type="all" dataOnly="0" outline="0" fieldPosition="0"/>
    </format>
    <format dxfId="636">
      <pivotArea outline="0" collapsedLevelsAreSubtotals="1" fieldPosition="0"/>
    </format>
    <format dxfId="635">
      <pivotArea field="0" type="button" dataOnly="0" labelOnly="1" outline="0"/>
    </format>
    <format dxfId="634">
      <pivotArea dataOnly="0" labelOnly="1" grandRow="1" outline="0" fieldPosition="0"/>
    </format>
    <format dxfId="633">
      <pivotArea dataOnly="0" labelOnly="1" outline="0" axis="axisValues" fieldPosition="0"/>
    </format>
    <format dxfId="632">
      <pivotArea type="all" dataOnly="0" outline="0" fieldPosition="0"/>
    </format>
    <format dxfId="631">
      <pivotArea outline="0" collapsedLevelsAreSubtotals="1" fieldPosition="0"/>
    </format>
    <format dxfId="630">
      <pivotArea field="0" type="button" dataOnly="0" labelOnly="1" outline="0"/>
    </format>
    <format dxfId="629">
      <pivotArea dataOnly="0" labelOnly="1" grandRow="1" outline="0" fieldPosition="0"/>
    </format>
    <format dxfId="628">
      <pivotArea dataOnly="0" labelOnly="1" outline="0" axis="axisValues" fieldPosition="0"/>
    </format>
    <format dxfId="627">
      <pivotArea outline="0" collapsedLevelsAreSubtotals="1" fieldPosition="0"/>
    </format>
  </formats>
  <pivotTableStyleInfo name="PivotStyleDark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265A0A1-4B15-493B-A11D-4AA051D53D3E}"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Y3:Z9" firstHeaderRow="1" firstDataRow="1" firstDataCol="1"/>
  <pivotFields count="14">
    <pivotField showAll="0">
      <items count="5">
        <item x="0"/>
        <item x="1"/>
        <item x="2"/>
        <item x="3"/>
        <item t="default"/>
      </items>
    </pivotField>
    <pivotField showAll="0">
      <items count="9">
        <item x="3"/>
        <item x="0"/>
        <item x="6"/>
        <item x="2"/>
        <item x="7"/>
        <item x="1"/>
        <item x="5"/>
        <item x="4"/>
        <item t="default"/>
      </items>
    </pivotField>
    <pivotField axis="axisRow" showAll="0" measureFilter="1">
      <items count="13">
        <item x="3"/>
        <item x="5"/>
        <item x="10"/>
        <item x="11"/>
        <item x="1"/>
        <item x="7"/>
        <item x="2"/>
        <item x="4"/>
        <item x="0"/>
        <item x="8"/>
        <item x="9"/>
        <item x="6"/>
        <item t="default"/>
      </items>
    </pivotField>
    <pivotField showAll="0">
      <items count="5">
        <item x="0"/>
        <item x="2"/>
        <item x="1"/>
        <item x="3"/>
        <item t="default"/>
      </items>
    </pivotField>
    <pivotField showAll="0"/>
    <pivotField numFmtId="14" showAll="0">
      <items count="84">
        <item x="68"/>
        <item x="10"/>
        <item x="30"/>
        <item x="26"/>
        <item x="37"/>
        <item x="46"/>
        <item x="74"/>
        <item x="77"/>
        <item x="81"/>
        <item x="66"/>
        <item x="16"/>
        <item x="6"/>
        <item x="59"/>
        <item x="38"/>
        <item x="33"/>
        <item x="8"/>
        <item x="64"/>
        <item x="34"/>
        <item x="73"/>
        <item x="52"/>
        <item x="14"/>
        <item x="29"/>
        <item x="54"/>
        <item x="82"/>
        <item x="28"/>
        <item x="49"/>
        <item x="2"/>
        <item x="23"/>
        <item x="56"/>
        <item x="21"/>
        <item x="45"/>
        <item x="69"/>
        <item x="22"/>
        <item x="40"/>
        <item x="80"/>
        <item x="41"/>
        <item x="78"/>
        <item x="75"/>
        <item x="36"/>
        <item x="71"/>
        <item x="79"/>
        <item x="9"/>
        <item x="0"/>
        <item x="55"/>
        <item x="61"/>
        <item x="76"/>
        <item x="60"/>
        <item x="17"/>
        <item x="57"/>
        <item x="43"/>
        <item x="62"/>
        <item x="11"/>
        <item x="13"/>
        <item x="53"/>
        <item x="51"/>
        <item x="50"/>
        <item x="15"/>
        <item x="4"/>
        <item x="65"/>
        <item x="18"/>
        <item x="39"/>
        <item x="7"/>
        <item x="27"/>
        <item x="48"/>
        <item x="31"/>
        <item x="32"/>
        <item x="1"/>
        <item x="19"/>
        <item x="3"/>
        <item x="72"/>
        <item x="35"/>
        <item x="24"/>
        <item x="25"/>
        <item x="63"/>
        <item x="47"/>
        <item x="44"/>
        <item x="67"/>
        <item x="12"/>
        <item x="42"/>
        <item x="20"/>
        <item x="5"/>
        <item x="58"/>
        <item x="70"/>
        <item t="default"/>
      </items>
    </pivotField>
    <pivotField showAll="0"/>
    <pivotField showAll="0"/>
    <pivotField showAll="0"/>
    <pivotField showAll="0"/>
    <pivotField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6">
    <i>
      <x/>
    </i>
    <i>
      <x v="1"/>
    </i>
    <i>
      <x v="3"/>
    </i>
    <i>
      <x v="6"/>
    </i>
    <i>
      <x v="8"/>
    </i>
    <i t="grand">
      <x/>
    </i>
  </rowItems>
  <colItems count="1">
    <i/>
  </colItems>
  <dataFields count="1">
    <dataField name="Sum of Total Sales" fld="11" baseField="0" baseItem="0" numFmtId="164"/>
  </dataFields>
  <formats count="16">
    <format dxfId="658">
      <pivotArea type="all" dataOnly="0" outline="0" fieldPosition="0"/>
    </format>
    <format dxfId="657">
      <pivotArea outline="0" collapsedLevelsAreSubtotals="1" fieldPosition="0"/>
    </format>
    <format dxfId="656">
      <pivotArea field="0" type="button" dataOnly="0" labelOnly="1" outline="0"/>
    </format>
    <format dxfId="655">
      <pivotArea dataOnly="0" labelOnly="1" grandRow="1" outline="0" fieldPosition="0"/>
    </format>
    <format dxfId="654">
      <pivotArea dataOnly="0" labelOnly="1" outline="0" axis="axisValues" fieldPosition="0"/>
    </format>
    <format dxfId="653">
      <pivotArea type="all" dataOnly="0" outline="0" fieldPosition="0"/>
    </format>
    <format dxfId="652">
      <pivotArea outline="0" collapsedLevelsAreSubtotals="1" fieldPosition="0"/>
    </format>
    <format dxfId="651">
      <pivotArea field="0" type="button" dataOnly="0" labelOnly="1" outline="0"/>
    </format>
    <format dxfId="650">
      <pivotArea dataOnly="0" labelOnly="1" grandRow="1" outline="0" fieldPosition="0"/>
    </format>
    <format dxfId="649">
      <pivotArea dataOnly="0" labelOnly="1" outline="0" axis="axisValues" fieldPosition="0"/>
    </format>
    <format dxfId="648">
      <pivotArea type="all" dataOnly="0" outline="0" fieldPosition="0"/>
    </format>
    <format dxfId="647">
      <pivotArea outline="0" collapsedLevelsAreSubtotals="1" fieldPosition="0"/>
    </format>
    <format dxfId="646">
      <pivotArea field="0" type="button" dataOnly="0" labelOnly="1" outline="0"/>
    </format>
    <format dxfId="645">
      <pivotArea dataOnly="0" labelOnly="1" grandRow="1" outline="0" fieldPosition="0"/>
    </format>
    <format dxfId="644">
      <pivotArea dataOnly="0" labelOnly="1" outline="0" axis="axisValues" fieldPosition="0"/>
    </format>
    <format dxfId="643">
      <pivotArea outline="0" collapsedLevelsAreSubtotals="1" fieldPosition="0"/>
    </format>
  </formats>
  <pivotTableStyleInfo name="PivotStyleDark2" showRowHeaders="1" showColHeaders="1" showRowStripes="0" showColStripes="0" showLastColumn="1"/>
  <filters count="1">
    <filter fld="2" type="count" evalOrder="-1" id="1" iMeasureFld="0">
      <autoFilter ref="A1">
        <filterColumn colId="0">
          <top10 top="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3093249-BC13-4C2C-A7FF-054561685D25}"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44:D49" firstHeaderRow="0" firstDataRow="1" firstDataCol="1"/>
  <pivotFields count="14">
    <pivotField dataField="1" showAll="0">
      <items count="5">
        <item x="0"/>
        <item x="1"/>
        <item x="2"/>
        <item x="3"/>
        <item t="default"/>
      </items>
    </pivotField>
    <pivotField showAll="0">
      <items count="9">
        <item x="3"/>
        <item x="0"/>
        <item x="6"/>
        <item x="2"/>
        <item x="7"/>
        <item x="1"/>
        <item x="5"/>
        <item x="4"/>
        <item t="default"/>
      </items>
    </pivotField>
    <pivotField showAll="0"/>
    <pivotField axis="axisRow" showAll="0">
      <items count="5">
        <item x="0"/>
        <item x="2"/>
        <item x="1"/>
        <item x="3"/>
        <item t="default"/>
      </items>
    </pivotField>
    <pivotField showAll="0"/>
    <pivotField numFmtId="14" showAll="0">
      <items count="84">
        <item x="68"/>
        <item x="10"/>
        <item x="30"/>
        <item x="26"/>
        <item x="37"/>
        <item x="46"/>
        <item x="74"/>
        <item x="77"/>
        <item x="81"/>
        <item x="66"/>
        <item x="16"/>
        <item x="6"/>
        <item x="59"/>
        <item x="38"/>
        <item x="33"/>
        <item x="8"/>
        <item x="64"/>
        <item x="34"/>
        <item x="73"/>
        <item x="52"/>
        <item x="14"/>
        <item x="29"/>
        <item x="54"/>
        <item x="82"/>
        <item x="28"/>
        <item x="49"/>
        <item x="2"/>
        <item x="23"/>
        <item x="56"/>
        <item x="21"/>
        <item x="45"/>
        <item x="69"/>
        <item x="22"/>
        <item x="40"/>
        <item x="80"/>
        <item x="41"/>
        <item x="78"/>
        <item x="75"/>
        <item x="36"/>
        <item x="71"/>
        <item x="79"/>
        <item x="9"/>
        <item x="0"/>
        <item x="55"/>
        <item x="61"/>
        <item x="76"/>
        <item x="60"/>
        <item x="17"/>
        <item x="57"/>
        <item x="43"/>
        <item x="62"/>
        <item x="11"/>
        <item x="13"/>
        <item x="53"/>
        <item x="51"/>
        <item x="50"/>
        <item x="15"/>
        <item x="4"/>
        <item x="65"/>
        <item x="18"/>
        <item x="39"/>
        <item x="7"/>
        <item x="27"/>
        <item x="48"/>
        <item x="31"/>
        <item x="32"/>
        <item x="1"/>
        <item x="19"/>
        <item x="3"/>
        <item x="72"/>
        <item x="35"/>
        <item x="24"/>
        <item x="25"/>
        <item x="63"/>
        <item x="47"/>
        <item x="44"/>
        <item x="67"/>
        <item x="12"/>
        <item x="42"/>
        <item x="20"/>
        <item x="5"/>
        <item x="58"/>
        <item x="70"/>
        <item t="default"/>
      </items>
    </pivotField>
    <pivotField showAll="0"/>
    <pivotField showAll="0">
      <items count="13">
        <item x="7"/>
        <item x="5"/>
        <item x="10"/>
        <item x="2"/>
        <item x="6"/>
        <item x="0"/>
        <item x="8"/>
        <item x="3"/>
        <item x="1"/>
        <item x="11"/>
        <item x="9"/>
        <item x="4"/>
        <item t="default"/>
      </items>
    </pivotField>
    <pivotField showAll="0"/>
    <pivotField dataField="1" showAll="0"/>
    <pivotField showAll="0"/>
    <pivotField dataField="1"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3"/>
  </rowFields>
  <rowItems count="5">
    <i>
      <x/>
    </i>
    <i>
      <x v="1"/>
    </i>
    <i>
      <x v="2"/>
    </i>
    <i>
      <x v="3"/>
    </i>
    <i t="grand">
      <x/>
    </i>
  </rowItems>
  <colFields count="1">
    <field x="-2"/>
  </colFields>
  <colItems count="3">
    <i>
      <x/>
    </i>
    <i i="1">
      <x v="1"/>
    </i>
    <i i="2">
      <x v="2"/>
    </i>
  </colItems>
  <dataFields count="3">
    <dataField name="Count of Warehouse" fld="0" subtotal="count" baseField="0" baseItem="0" numFmtId="3"/>
    <dataField name="Sum of Quantity" fld="9" baseField="0" baseItem="0" numFmtId="3"/>
    <dataField name="Sum of Total Sales" fld="11" baseField="0" baseItem="0" numFmtId="164"/>
  </dataFields>
  <formats count="18">
    <format dxfId="676">
      <pivotArea type="all" dataOnly="0" outline="0" fieldPosition="0"/>
    </format>
    <format dxfId="675">
      <pivotArea outline="0" collapsedLevelsAreSubtotals="1" fieldPosition="0"/>
    </format>
    <format dxfId="674">
      <pivotArea field="0" type="button" dataOnly="0" labelOnly="1" outline="0"/>
    </format>
    <format dxfId="673">
      <pivotArea dataOnly="0" labelOnly="1" grandRow="1" outline="0" fieldPosition="0"/>
    </format>
    <format dxfId="672">
      <pivotArea dataOnly="0" labelOnly="1" outline="0" axis="axisValues" fieldPosition="0"/>
    </format>
    <format dxfId="671">
      <pivotArea type="all" dataOnly="0" outline="0" fieldPosition="0"/>
    </format>
    <format dxfId="670">
      <pivotArea outline="0" collapsedLevelsAreSubtotals="1" fieldPosition="0"/>
    </format>
    <format dxfId="669">
      <pivotArea field="0" type="button" dataOnly="0" labelOnly="1" outline="0"/>
    </format>
    <format dxfId="668">
      <pivotArea dataOnly="0" labelOnly="1" grandRow="1" outline="0" fieldPosition="0"/>
    </format>
    <format dxfId="667">
      <pivotArea dataOnly="0" labelOnly="1" outline="0" axis="axisValues" fieldPosition="0"/>
    </format>
    <format dxfId="666">
      <pivotArea type="all" dataOnly="0" outline="0" fieldPosition="0"/>
    </format>
    <format dxfId="665">
      <pivotArea outline="0" collapsedLevelsAreSubtotals="1" fieldPosition="0"/>
    </format>
    <format dxfId="664">
      <pivotArea field="0" type="button" dataOnly="0" labelOnly="1" outline="0"/>
    </format>
    <format dxfId="663">
      <pivotArea dataOnly="0" labelOnly="1" grandRow="1" outline="0" fieldPosition="0"/>
    </format>
    <format dxfId="662">
      <pivotArea dataOnly="0" labelOnly="1" outline="0" axis="axisValues" fieldPosition="0"/>
    </format>
    <format dxfId="661">
      <pivotArea outline="0" collapsedLevelsAreSubtotals="1" fieldPosition="0"/>
    </format>
    <format dxfId="660">
      <pivotArea outline="0" collapsedLevelsAreSubtotals="1" fieldPosition="0">
        <references count="1">
          <reference field="4294967294" count="1" selected="0">
            <x v="0"/>
          </reference>
        </references>
      </pivotArea>
    </format>
    <format dxfId="659">
      <pivotArea outline="0" collapsedLevelsAreSubtotals="1" fieldPosition="0">
        <references count="1">
          <reference field="4294967294" count="1" selected="0">
            <x v="1"/>
          </reference>
        </references>
      </pivotArea>
    </format>
  </formats>
  <chartFormats count="1">
    <chartFormat chart="6" format="0" series="1">
      <pivotArea type="data" outline="0" fieldPosition="0">
        <references count="1">
          <reference field="4294967294" count="1" selected="0">
            <x v="2"/>
          </reference>
        </references>
      </pivotArea>
    </chartFormat>
  </chartFormats>
  <pivotTableStyleInfo name="PivotStyleDark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7A870D2-43A7-4E71-9B4D-C986EB7375BF}"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1">
  <location ref="A23:B34" firstHeaderRow="1" firstDataRow="1" firstDataCol="1"/>
  <pivotFields count="14">
    <pivotField showAll="0">
      <items count="5">
        <item x="0"/>
        <item x="1"/>
        <item x="2"/>
        <item x="3"/>
        <item t="default"/>
      </items>
    </pivotField>
    <pivotField showAll="0">
      <items count="9">
        <item x="3"/>
        <item x="0"/>
        <item x="6"/>
        <item x="2"/>
        <item x="7"/>
        <item x="1"/>
        <item x="5"/>
        <item x="4"/>
        <item t="default"/>
      </items>
    </pivotField>
    <pivotField axis="axisRow" showAll="0" measureFilter="1">
      <items count="13">
        <item x="3"/>
        <item x="5"/>
        <item x="10"/>
        <item x="11"/>
        <item x="1"/>
        <item x="7"/>
        <item x="2"/>
        <item x="4"/>
        <item x="0"/>
        <item x="8"/>
        <item x="9"/>
        <item x="6"/>
        <item t="default"/>
      </items>
    </pivotField>
    <pivotField showAll="0">
      <items count="5">
        <item x="0"/>
        <item x="2"/>
        <item x="1"/>
        <item x="3"/>
        <item t="default"/>
      </items>
    </pivotField>
    <pivotField showAll="0"/>
    <pivotField numFmtId="14" showAll="0">
      <items count="84">
        <item x="68"/>
        <item x="10"/>
        <item x="30"/>
        <item x="26"/>
        <item x="37"/>
        <item x="46"/>
        <item x="74"/>
        <item x="77"/>
        <item x="81"/>
        <item x="66"/>
        <item x="16"/>
        <item x="6"/>
        <item x="59"/>
        <item x="38"/>
        <item x="33"/>
        <item x="8"/>
        <item x="64"/>
        <item x="34"/>
        <item x="73"/>
        <item x="52"/>
        <item x="14"/>
        <item x="29"/>
        <item x="54"/>
        <item x="82"/>
        <item x="28"/>
        <item x="49"/>
        <item x="2"/>
        <item x="23"/>
        <item x="56"/>
        <item x="21"/>
        <item x="45"/>
        <item x="69"/>
        <item x="22"/>
        <item x="40"/>
        <item x="80"/>
        <item x="41"/>
        <item x="78"/>
        <item x="75"/>
        <item x="36"/>
        <item x="71"/>
        <item x="79"/>
        <item x="9"/>
        <item x="0"/>
        <item x="55"/>
        <item x="61"/>
        <item x="76"/>
        <item x="60"/>
        <item x="17"/>
        <item x="57"/>
        <item x="43"/>
        <item x="62"/>
        <item x="11"/>
        <item x="13"/>
        <item x="53"/>
        <item x="51"/>
        <item x="50"/>
        <item x="15"/>
        <item x="4"/>
        <item x="65"/>
        <item x="18"/>
        <item x="39"/>
        <item x="7"/>
        <item x="27"/>
        <item x="48"/>
        <item x="31"/>
        <item x="32"/>
        <item x="1"/>
        <item x="19"/>
        <item x="3"/>
        <item x="72"/>
        <item x="35"/>
        <item x="24"/>
        <item x="25"/>
        <item x="63"/>
        <item x="47"/>
        <item x="44"/>
        <item x="67"/>
        <item x="12"/>
        <item x="42"/>
        <item x="20"/>
        <item x="5"/>
        <item x="58"/>
        <item x="70"/>
        <item t="default"/>
      </items>
    </pivotField>
    <pivotField showAll="0"/>
    <pivotField showAll="0">
      <items count="13">
        <item x="7"/>
        <item x="5"/>
        <item x="10"/>
        <item x="2"/>
        <item x="6"/>
        <item x="0"/>
        <item x="8"/>
        <item x="3"/>
        <item x="1"/>
        <item x="11"/>
        <item x="9"/>
        <item x="4"/>
        <item t="default"/>
      </items>
    </pivotField>
    <pivotField showAll="0"/>
    <pivotField showAll="0"/>
    <pivotField showAll="0"/>
    <pivotField dataField="1"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2"/>
  </rowFields>
  <rowItems count="11">
    <i>
      <x/>
    </i>
    <i>
      <x v="2"/>
    </i>
    <i>
      <x v="3"/>
    </i>
    <i>
      <x v="4"/>
    </i>
    <i>
      <x v="5"/>
    </i>
    <i>
      <x v="7"/>
    </i>
    <i>
      <x v="8"/>
    </i>
    <i>
      <x v="9"/>
    </i>
    <i>
      <x v="10"/>
    </i>
    <i>
      <x v="11"/>
    </i>
    <i t="grand">
      <x/>
    </i>
  </rowItems>
  <colItems count="1">
    <i/>
  </colItems>
  <dataFields count="1">
    <dataField name="Sum of Total Sales" fld="11" baseField="0" baseItem="0" numFmtId="164"/>
  </dataFields>
  <formats count="16">
    <format dxfId="692">
      <pivotArea type="all" dataOnly="0" outline="0" fieldPosition="0"/>
    </format>
    <format dxfId="691">
      <pivotArea outline="0" collapsedLevelsAreSubtotals="1" fieldPosition="0"/>
    </format>
    <format dxfId="690">
      <pivotArea field="0" type="button" dataOnly="0" labelOnly="1" outline="0"/>
    </format>
    <format dxfId="689">
      <pivotArea dataOnly="0" labelOnly="1" grandRow="1" outline="0" fieldPosition="0"/>
    </format>
    <format dxfId="688">
      <pivotArea dataOnly="0" labelOnly="1" outline="0" axis="axisValues" fieldPosition="0"/>
    </format>
    <format dxfId="687">
      <pivotArea type="all" dataOnly="0" outline="0" fieldPosition="0"/>
    </format>
    <format dxfId="686">
      <pivotArea outline="0" collapsedLevelsAreSubtotals="1" fieldPosition="0"/>
    </format>
    <format dxfId="685">
      <pivotArea field="0" type="button" dataOnly="0" labelOnly="1" outline="0"/>
    </format>
    <format dxfId="684">
      <pivotArea dataOnly="0" labelOnly="1" grandRow="1" outline="0" fieldPosition="0"/>
    </format>
    <format dxfId="683">
      <pivotArea dataOnly="0" labelOnly="1" outline="0" axis="axisValues" fieldPosition="0"/>
    </format>
    <format dxfId="682">
      <pivotArea type="all" dataOnly="0" outline="0" fieldPosition="0"/>
    </format>
    <format dxfId="681">
      <pivotArea outline="0" collapsedLevelsAreSubtotals="1" fieldPosition="0"/>
    </format>
    <format dxfId="680">
      <pivotArea field="0" type="button" dataOnly="0" labelOnly="1" outline="0"/>
    </format>
    <format dxfId="679">
      <pivotArea dataOnly="0" labelOnly="1" grandRow="1" outline="0" fieldPosition="0"/>
    </format>
    <format dxfId="678">
      <pivotArea dataOnly="0" labelOnly="1" outline="0" axis="axisValues" fieldPosition="0"/>
    </format>
    <format dxfId="677">
      <pivotArea outline="0" collapsedLevelsAreSubtotals="1" fieldPosition="0"/>
    </format>
  </formats>
  <chartFormats count="5">
    <chartFormat chart="6" format="0"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25" format="2" series="1">
      <pivotArea type="data" outline="0" fieldPosition="0">
        <references count="1">
          <reference field="4294967294" count="1" selected="0">
            <x v="0"/>
          </reference>
        </references>
      </pivotArea>
    </chartFormat>
    <chartFormat chart="27" format="4" series="1">
      <pivotArea type="data" outline="0" fieldPosition="0">
        <references count="1">
          <reference field="4294967294" count="1" selected="0">
            <x v="0"/>
          </reference>
        </references>
      </pivotArea>
    </chartFormat>
    <chartFormat chart="30" format="5" series="1">
      <pivotArea type="data" outline="0" fieldPosition="0">
        <references count="1">
          <reference field="4294967294" count="1" selected="0">
            <x v="0"/>
          </reference>
        </references>
      </pivotArea>
    </chartFormat>
  </chartFormats>
  <pivotTableStyleInfo name="PivotStyleDark2" showRowHeaders="1" showColHeaders="1" showRowStripes="0" showColStripes="0" showLastColumn="1"/>
  <filters count="1">
    <filter fld="2"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E0F2171-EA89-417B-80F0-41396DFAB101}"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8" firstHeaderRow="1" firstDataRow="1" firstDataCol="1"/>
  <pivotFields count="14">
    <pivotField axis="axisRow" showAll="0" sortType="descending">
      <items count="5">
        <item x="0"/>
        <item x="1"/>
        <item x="2"/>
        <item x="3"/>
        <item t="default"/>
      </items>
      <autoSortScope>
        <pivotArea dataOnly="0" outline="0" fieldPosition="0">
          <references count="1">
            <reference field="4294967294" count="1" selected="0">
              <x v="0"/>
            </reference>
          </references>
        </pivotArea>
      </autoSortScope>
    </pivotField>
    <pivotField showAll="0">
      <items count="9">
        <item x="3"/>
        <item x="0"/>
        <item x="6"/>
        <item x="2"/>
        <item x="7"/>
        <item x="1"/>
        <item x="5"/>
        <item x="4"/>
        <item t="default"/>
      </items>
    </pivotField>
    <pivotField showAll="0"/>
    <pivotField showAll="0">
      <items count="5">
        <item x="0"/>
        <item x="2"/>
        <item x="1"/>
        <item x="3"/>
        <item t="default"/>
      </items>
    </pivotField>
    <pivotField showAll="0"/>
    <pivotField numFmtId="14" showAll="0">
      <items count="84">
        <item x="68"/>
        <item x="10"/>
        <item x="30"/>
        <item x="26"/>
        <item x="37"/>
        <item x="46"/>
        <item x="74"/>
        <item x="77"/>
        <item x="81"/>
        <item x="66"/>
        <item x="16"/>
        <item x="6"/>
        <item x="59"/>
        <item x="38"/>
        <item x="33"/>
        <item x="8"/>
        <item x="64"/>
        <item x="34"/>
        <item x="73"/>
        <item x="52"/>
        <item x="14"/>
        <item x="29"/>
        <item x="54"/>
        <item x="82"/>
        <item x="28"/>
        <item x="49"/>
        <item x="2"/>
        <item x="23"/>
        <item x="56"/>
        <item x="21"/>
        <item x="45"/>
        <item x="69"/>
        <item x="22"/>
        <item x="40"/>
        <item x="80"/>
        <item x="41"/>
        <item x="78"/>
        <item x="75"/>
        <item x="36"/>
        <item x="71"/>
        <item x="79"/>
        <item x="9"/>
        <item x="0"/>
        <item x="55"/>
        <item x="61"/>
        <item x="76"/>
        <item x="60"/>
        <item x="17"/>
        <item x="57"/>
        <item x="43"/>
        <item x="62"/>
        <item x="11"/>
        <item x="13"/>
        <item x="53"/>
        <item x="51"/>
        <item x="50"/>
        <item x="15"/>
        <item x="4"/>
        <item x="65"/>
        <item x="18"/>
        <item x="39"/>
        <item x="7"/>
        <item x="27"/>
        <item x="48"/>
        <item x="31"/>
        <item x="32"/>
        <item x="1"/>
        <item x="19"/>
        <item x="3"/>
        <item x="72"/>
        <item x="35"/>
        <item x="24"/>
        <item x="25"/>
        <item x="63"/>
        <item x="47"/>
        <item x="44"/>
        <item x="67"/>
        <item x="12"/>
        <item x="42"/>
        <item x="20"/>
        <item x="5"/>
        <item x="58"/>
        <item x="70"/>
        <item t="default"/>
      </items>
    </pivotField>
    <pivotField showAll="0"/>
    <pivotField showAll="0"/>
    <pivotField showAll="0"/>
    <pivotField showAll="0"/>
    <pivotField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0"/>
  </rowFields>
  <rowItems count="5">
    <i>
      <x v="2"/>
    </i>
    <i>
      <x/>
    </i>
    <i>
      <x v="1"/>
    </i>
    <i>
      <x v="3"/>
    </i>
    <i t="grand">
      <x/>
    </i>
  </rowItems>
  <colItems count="1">
    <i/>
  </colItems>
  <dataFields count="1">
    <dataField name="Sum of Total Sales" fld="11" baseField="0" baseItem="0" numFmtId="164"/>
  </dataFields>
  <formats count="19">
    <format dxfId="711">
      <pivotArea type="all" dataOnly="0" outline="0" fieldPosition="0"/>
    </format>
    <format dxfId="710">
      <pivotArea outline="0" collapsedLevelsAreSubtotals="1" fieldPosition="0"/>
    </format>
    <format dxfId="709">
      <pivotArea field="0" type="button" dataOnly="0" labelOnly="1" outline="0" axis="axisRow" fieldPosition="0"/>
    </format>
    <format dxfId="708">
      <pivotArea dataOnly="0" labelOnly="1" fieldPosition="0">
        <references count="1">
          <reference field="0" count="0"/>
        </references>
      </pivotArea>
    </format>
    <format dxfId="707">
      <pivotArea dataOnly="0" labelOnly="1" grandRow="1" outline="0" fieldPosition="0"/>
    </format>
    <format dxfId="706">
      <pivotArea dataOnly="0" labelOnly="1" outline="0" axis="axisValues" fieldPosition="0"/>
    </format>
    <format dxfId="705">
      <pivotArea type="all" dataOnly="0" outline="0" fieldPosition="0"/>
    </format>
    <format dxfId="704">
      <pivotArea outline="0" collapsedLevelsAreSubtotals="1" fieldPosition="0"/>
    </format>
    <format dxfId="703">
      <pivotArea field="0" type="button" dataOnly="0" labelOnly="1" outline="0" axis="axisRow" fieldPosition="0"/>
    </format>
    <format dxfId="702">
      <pivotArea dataOnly="0" labelOnly="1" fieldPosition="0">
        <references count="1">
          <reference field="0" count="0"/>
        </references>
      </pivotArea>
    </format>
    <format dxfId="701">
      <pivotArea dataOnly="0" labelOnly="1" grandRow="1" outline="0" fieldPosition="0"/>
    </format>
    <format dxfId="700">
      <pivotArea dataOnly="0" labelOnly="1" outline="0" axis="axisValues" fieldPosition="0"/>
    </format>
    <format dxfId="699">
      <pivotArea type="all" dataOnly="0" outline="0" fieldPosition="0"/>
    </format>
    <format dxfId="698">
      <pivotArea outline="0" collapsedLevelsAreSubtotals="1" fieldPosition="0"/>
    </format>
    <format dxfId="697">
      <pivotArea field="0" type="button" dataOnly="0" labelOnly="1" outline="0" axis="axisRow" fieldPosition="0"/>
    </format>
    <format dxfId="696">
      <pivotArea dataOnly="0" labelOnly="1" fieldPosition="0">
        <references count="1">
          <reference field="0" count="0"/>
        </references>
      </pivotArea>
    </format>
    <format dxfId="695">
      <pivotArea dataOnly="0" labelOnly="1" grandRow="1" outline="0" fieldPosition="0"/>
    </format>
    <format dxfId="694">
      <pivotArea dataOnly="0" labelOnly="1" outline="0" axis="axisValues" fieldPosition="0"/>
    </format>
    <format dxfId="693">
      <pivotArea outline="0" collapsedLevelsAreSubtotals="1" fieldPosition="0"/>
    </format>
  </formats>
  <pivotTableStyleInfo name="PivotStyleDark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305142D7-1107-465B-A223-B7AB4FB222C0}"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T3:W4" firstHeaderRow="0" firstDataRow="1" firstDataCol="0"/>
  <pivotFields count="14">
    <pivotField showAll="0">
      <items count="5">
        <item x="0"/>
        <item x="1"/>
        <item x="2"/>
        <item x="3"/>
        <item t="default"/>
      </items>
    </pivotField>
    <pivotField showAll="0">
      <items count="9">
        <item x="3"/>
        <item x="0"/>
        <item x="6"/>
        <item x="2"/>
        <item x="7"/>
        <item x="1"/>
        <item x="5"/>
        <item x="4"/>
        <item t="default"/>
      </items>
    </pivotField>
    <pivotField showAll="0"/>
    <pivotField showAll="0">
      <items count="5">
        <item x="0"/>
        <item x="2"/>
        <item x="1"/>
        <item x="3"/>
        <item t="default"/>
      </items>
    </pivotField>
    <pivotField showAll="0"/>
    <pivotField dataField="1" numFmtId="14" showAll="0">
      <items count="84">
        <item x="68"/>
        <item x="10"/>
        <item x="30"/>
        <item x="26"/>
        <item x="37"/>
        <item x="46"/>
        <item x="74"/>
        <item x="77"/>
        <item x="81"/>
        <item x="66"/>
        <item x="16"/>
        <item x="6"/>
        <item x="59"/>
        <item x="38"/>
        <item x="33"/>
        <item x="8"/>
        <item x="64"/>
        <item x="34"/>
        <item x="73"/>
        <item x="52"/>
        <item x="14"/>
        <item x="29"/>
        <item x="54"/>
        <item x="82"/>
        <item x="28"/>
        <item x="49"/>
        <item x="2"/>
        <item x="23"/>
        <item x="56"/>
        <item x="21"/>
        <item x="45"/>
        <item x="69"/>
        <item x="22"/>
        <item x="40"/>
        <item x="80"/>
        <item x="41"/>
        <item x="78"/>
        <item x="75"/>
        <item x="36"/>
        <item x="71"/>
        <item x="79"/>
        <item x="9"/>
        <item x="0"/>
        <item x="55"/>
        <item x="61"/>
        <item x="76"/>
        <item x="60"/>
        <item x="17"/>
        <item x="57"/>
        <item x="43"/>
        <item x="62"/>
        <item x="11"/>
        <item x="13"/>
        <item x="53"/>
        <item x="51"/>
        <item x="50"/>
        <item x="15"/>
        <item x="4"/>
        <item x="65"/>
        <item x="18"/>
        <item x="39"/>
        <item x="7"/>
        <item x="27"/>
        <item x="48"/>
        <item x="31"/>
        <item x="32"/>
        <item x="1"/>
        <item x="19"/>
        <item x="3"/>
        <item x="72"/>
        <item x="35"/>
        <item x="24"/>
        <item x="25"/>
        <item x="63"/>
        <item x="47"/>
        <item x="44"/>
        <item x="67"/>
        <item x="12"/>
        <item x="42"/>
        <item x="20"/>
        <item x="5"/>
        <item x="58"/>
        <item x="70"/>
        <item t="default"/>
      </items>
    </pivotField>
    <pivotField showAll="0"/>
    <pivotField showAll="0"/>
    <pivotField showAll="0"/>
    <pivotField dataField="1" showAll="0"/>
    <pivotField dataField="1"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Fields count="1">
    <field x="-2"/>
  </colFields>
  <colItems count="4">
    <i>
      <x/>
    </i>
    <i i="1">
      <x v="1"/>
    </i>
    <i i="2">
      <x v="2"/>
    </i>
    <i i="3">
      <x v="3"/>
    </i>
  </colItems>
  <dataFields count="4">
    <dataField name="Average of Unit Price" fld="10" subtotal="average" baseField="0" baseItem="0" numFmtId="4"/>
    <dataField name="Sum of Total Sales" fld="11" baseField="0" baseItem="0" numFmtId="164"/>
    <dataField name="Count of Order Date" fld="5" subtotal="count" baseField="0" baseItem="0"/>
    <dataField name="Sum of Quantity" fld="9" baseField="0" baseItem="0"/>
  </dataFields>
  <formats count="18">
    <format dxfId="729">
      <pivotArea type="all" dataOnly="0" outline="0" fieldPosition="0"/>
    </format>
    <format dxfId="728">
      <pivotArea outline="0" collapsedLevelsAreSubtotals="1" fieldPosition="0"/>
    </format>
    <format dxfId="727">
      <pivotArea field="0" type="button" dataOnly="0" labelOnly="1" outline="0"/>
    </format>
    <format dxfId="726">
      <pivotArea dataOnly="0" labelOnly="1" grandRow="1" outline="0" fieldPosition="0"/>
    </format>
    <format dxfId="725">
      <pivotArea dataOnly="0" labelOnly="1" outline="0" axis="axisValues" fieldPosition="0"/>
    </format>
    <format dxfId="724">
      <pivotArea type="all" dataOnly="0" outline="0" fieldPosition="0"/>
    </format>
    <format dxfId="723">
      <pivotArea outline="0" collapsedLevelsAreSubtotals="1" fieldPosition="0"/>
    </format>
    <format dxfId="722">
      <pivotArea field="0" type="button" dataOnly="0" labelOnly="1" outline="0"/>
    </format>
    <format dxfId="721">
      <pivotArea dataOnly="0" labelOnly="1" grandRow="1" outline="0" fieldPosition="0"/>
    </format>
    <format dxfId="720">
      <pivotArea dataOnly="0" labelOnly="1" outline="0" axis="axisValues" fieldPosition="0"/>
    </format>
    <format dxfId="719">
      <pivotArea type="all" dataOnly="0" outline="0" fieldPosition="0"/>
    </format>
    <format dxfId="718">
      <pivotArea outline="0" collapsedLevelsAreSubtotals="1" fieldPosition="0"/>
    </format>
    <format dxfId="717">
      <pivotArea field="0" type="button" dataOnly="0" labelOnly="1" outline="0"/>
    </format>
    <format dxfId="716">
      <pivotArea dataOnly="0" labelOnly="1" grandRow="1" outline="0" fieldPosition="0"/>
    </format>
    <format dxfId="715">
      <pivotArea dataOnly="0" labelOnly="1" outline="0" axis="axisValues" fieldPosition="0"/>
    </format>
    <format dxfId="714">
      <pivotArea outline="0" collapsedLevelsAreSubtotals="1" fieldPosition="0"/>
    </format>
    <format dxfId="713">
      <pivotArea outline="0" collapsedLevelsAreSubtotals="1" fieldPosition="0">
        <references count="1">
          <reference field="4294967294" count="1" selected="0">
            <x v="1"/>
          </reference>
        </references>
      </pivotArea>
    </format>
    <format dxfId="712">
      <pivotArea outline="0" collapsedLevelsAreSubtotals="1" fieldPosition="0">
        <references count="1">
          <reference field="4294967294" count="1" selected="0">
            <x v="0"/>
          </reference>
        </references>
      </pivotArea>
    </format>
  </formats>
  <pivotTableStyleInfo name="PivotStyleDark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DBA2B1F2-6BCE-445B-844D-314CB448F1A9}"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BA3:BB8" firstHeaderRow="1" firstDataRow="1" firstDataCol="1"/>
  <pivotFields count="14">
    <pivotField showAll="0">
      <items count="5">
        <item x="0"/>
        <item x="1"/>
        <item x="2"/>
        <item x="3"/>
        <item t="default"/>
      </items>
    </pivotField>
    <pivotField showAll="0">
      <items count="9">
        <item x="3"/>
        <item x="0"/>
        <item x="6"/>
        <item x="2"/>
        <item x="7"/>
        <item x="1"/>
        <item x="5"/>
        <item x="4"/>
        <item t="default"/>
      </items>
    </pivotField>
    <pivotField showAll="0"/>
    <pivotField axis="axisRow" showAll="0">
      <items count="5">
        <item x="0"/>
        <item x="2"/>
        <item x="1"/>
        <item x="3"/>
        <item t="default"/>
      </items>
    </pivotField>
    <pivotField showAll="0"/>
    <pivotField numFmtId="14" showAll="0">
      <items count="84">
        <item x="68"/>
        <item x="10"/>
        <item x="30"/>
        <item x="26"/>
        <item x="37"/>
        <item x="46"/>
        <item x="74"/>
        <item x="77"/>
        <item x="81"/>
        <item x="66"/>
        <item x="16"/>
        <item x="6"/>
        <item x="59"/>
        <item x="38"/>
        <item x="33"/>
        <item x="8"/>
        <item x="64"/>
        <item x="34"/>
        <item x="73"/>
        <item x="52"/>
        <item x="14"/>
        <item x="29"/>
        <item x="54"/>
        <item x="82"/>
        <item x="28"/>
        <item x="49"/>
        <item x="2"/>
        <item x="23"/>
        <item x="56"/>
        <item x="21"/>
        <item x="45"/>
        <item x="69"/>
        <item x="22"/>
        <item x="40"/>
        <item x="80"/>
        <item x="41"/>
        <item x="78"/>
        <item x="75"/>
        <item x="36"/>
        <item x="71"/>
        <item x="79"/>
        <item x="9"/>
        <item x="0"/>
        <item x="55"/>
        <item x="61"/>
        <item x="76"/>
        <item x="60"/>
        <item x="17"/>
        <item x="57"/>
        <item x="43"/>
        <item x="62"/>
        <item x="11"/>
        <item x="13"/>
        <item x="53"/>
        <item x="51"/>
        <item x="50"/>
        <item x="15"/>
        <item x="4"/>
        <item x="65"/>
        <item x="18"/>
        <item x="39"/>
        <item x="7"/>
        <item x="27"/>
        <item x="48"/>
        <item x="31"/>
        <item x="32"/>
        <item x="1"/>
        <item x="19"/>
        <item x="3"/>
        <item x="72"/>
        <item x="35"/>
        <item x="24"/>
        <item x="25"/>
        <item x="63"/>
        <item x="47"/>
        <item x="44"/>
        <item x="67"/>
        <item x="12"/>
        <item x="42"/>
        <item x="20"/>
        <item x="5"/>
        <item x="58"/>
        <item x="70"/>
        <item t="default"/>
      </items>
    </pivotField>
    <pivotField showAll="0"/>
    <pivotField showAll="0">
      <items count="13">
        <item x="7"/>
        <item x="5"/>
        <item x="10"/>
        <item x="2"/>
        <item x="6"/>
        <item x="0"/>
        <item x="8"/>
        <item x="3"/>
        <item x="1"/>
        <item x="11"/>
        <item x="9"/>
        <item x="4"/>
        <item t="default"/>
      </items>
    </pivotField>
    <pivotField showAll="0"/>
    <pivotField showAll="0"/>
    <pivotField showAll="0"/>
    <pivotField dataField="1"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3"/>
  </rowFields>
  <rowItems count="5">
    <i>
      <x/>
    </i>
    <i>
      <x v="1"/>
    </i>
    <i>
      <x v="2"/>
    </i>
    <i>
      <x v="3"/>
    </i>
    <i t="grand">
      <x/>
    </i>
  </rowItems>
  <colItems count="1">
    <i/>
  </colItems>
  <dataFields count="1">
    <dataField name="Sum of Total Sales" fld="11" baseField="0" baseItem="0" numFmtId="164"/>
  </dataFields>
  <formats count="16">
    <format dxfId="745">
      <pivotArea type="all" dataOnly="0" outline="0" fieldPosition="0"/>
    </format>
    <format dxfId="744">
      <pivotArea outline="0" collapsedLevelsAreSubtotals="1" fieldPosition="0"/>
    </format>
    <format dxfId="743">
      <pivotArea field="0" type="button" dataOnly="0" labelOnly="1" outline="0"/>
    </format>
    <format dxfId="742">
      <pivotArea dataOnly="0" labelOnly="1" grandRow="1" outline="0" fieldPosition="0"/>
    </format>
    <format dxfId="741">
      <pivotArea dataOnly="0" labelOnly="1" outline="0" axis="axisValues" fieldPosition="0"/>
    </format>
    <format dxfId="740">
      <pivotArea type="all" dataOnly="0" outline="0" fieldPosition="0"/>
    </format>
    <format dxfId="739">
      <pivotArea outline="0" collapsedLevelsAreSubtotals="1" fieldPosition="0"/>
    </format>
    <format dxfId="738">
      <pivotArea field="0" type="button" dataOnly="0" labelOnly="1" outline="0"/>
    </format>
    <format dxfId="737">
      <pivotArea dataOnly="0" labelOnly="1" grandRow="1" outline="0" fieldPosition="0"/>
    </format>
    <format dxfId="736">
      <pivotArea dataOnly="0" labelOnly="1" outline="0" axis="axisValues" fieldPosition="0"/>
    </format>
    <format dxfId="735">
      <pivotArea type="all" dataOnly="0" outline="0" fieldPosition="0"/>
    </format>
    <format dxfId="734">
      <pivotArea outline="0" collapsedLevelsAreSubtotals="1" fieldPosition="0"/>
    </format>
    <format dxfId="733">
      <pivotArea field="0" type="button" dataOnly="0" labelOnly="1" outline="0"/>
    </format>
    <format dxfId="732">
      <pivotArea dataOnly="0" labelOnly="1" grandRow="1" outline="0" fieldPosition="0"/>
    </format>
    <format dxfId="731">
      <pivotArea dataOnly="0" labelOnly="1" outline="0" axis="axisValues" fieldPosition="0"/>
    </format>
    <format dxfId="730">
      <pivotArea outline="0" collapsedLevelsAreSubtotals="1" fieldPosition="0"/>
    </format>
  </formats>
  <chartFormats count="16">
    <chartFormat chart="6" format="0"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1" format="1">
      <pivotArea type="data" outline="0" fieldPosition="0">
        <references count="2">
          <reference field="4294967294" count="1" selected="0">
            <x v="0"/>
          </reference>
          <reference field="3" count="1" selected="0">
            <x v="2"/>
          </reference>
        </references>
      </pivotArea>
    </chartFormat>
    <chartFormat chart="17" format="7" series="1">
      <pivotArea type="data" outline="0" fieldPosition="0">
        <references count="1">
          <reference field="4294967294" count="1" selected="0">
            <x v="0"/>
          </reference>
        </references>
      </pivotArea>
    </chartFormat>
    <chartFormat chart="17" format="8">
      <pivotArea type="data" outline="0" fieldPosition="0">
        <references count="2">
          <reference field="4294967294" count="1" selected="0">
            <x v="0"/>
          </reference>
          <reference field="3" count="1" selected="0">
            <x v="0"/>
          </reference>
        </references>
      </pivotArea>
    </chartFormat>
    <chartFormat chart="17" format="9">
      <pivotArea type="data" outline="0" fieldPosition="0">
        <references count="2">
          <reference field="4294967294" count="1" selected="0">
            <x v="0"/>
          </reference>
          <reference field="3" count="1" selected="0">
            <x v="1"/>
          </reference>
        </references>
      </pivotArea>
    </chartFormat>
    <chartFormat chart="17" format="10">
      <pivotArea type="data" outline="0" fieldPosition="0">
        <references count="2">
          <reference field="4294967294" count="1" selected="0">
            <x v="0"/>
          </reference>
          <reference field="3" count="1" selected="0">
            <x v="2"/>
          </reference>
        </references>
      </pivotArea>
    </chartFormat>
    <chartFormat chart="17" format="11">
      <pivotArea type="data" outline="0" fieldPosition="0">
        <references count="2">
          <reference field="4294967294" count="1" selected="0">
            <x v="0"/>
          </reference>
          <reference field="3" count="1" selected="0">
            <x v="3"/>
          </reference>
        </references>
      </pivotArea>
    </chartFormat>
    <chartFormat chart="11" format="2">
      <pivotArea type="data" outline="0" fieldPosition="0">
        <references count="2">
          <reference field="4294967294" count="1" selected="0">
            <x v="0"/>
          </reference>
          <reference field="3" count="1" selected="0">
            <x v="0"/>
          </reference>
        </references>
      </pivotArea>
    </chartFormat>
    <chartFormat chart="11" format="3">
      <pivotArea type="data" outline="0" fieldPosition="0">
        <references count="2">
          <reference field="4294967294" count="1" selected="0">
            <x v="0"/>
          </reference>
          <reference field="3" count="1" selected="0">
            <x v="1"/>
          </reference>
        </references>
      </pivotArea>
    </chartFormat>
    <chartFormat chart="11" format="4">
      <pivotArea type="data" outline="0" fieldPosition="0">
        <references count="2">
          <reference field="4294967294" count="1" selected="0">
            <x v="0"/>
          </reference>
          <reference field="3" count="1" selected="0">
            <x v="3"/>
          </reference>
        </references>
      </pivotArea>
    </chartFormat>
    <chartFormat chart="20" format="12" series="1">
      <pivotArea type="data" outline="0" fieldPosition="0">
        <references count="1">
          <reference field="4294967294" count="1" selected="0">
            <x v="0"/>
          </reference>
        </references>
      </pivotArea>
    </chartFormat>
    <chartFormat chart="20" format="13">
      <pivotArea type="data" outline="0" fieldPosition="0">
        <references count="2">
          <reference field="4294967294" count="1" selected="0">
            <x v="0"/>
          </reference>
          <reference field="3" count="1" selected="0">
            <x v="0"/>
          </reference>
        </references>
      </pivotArea>
    </chartFormat>
    <chartFormat chart="20" format="14">
      <pivotArea type="data" outline="0" fieldPosition="0">
        <references count="2">
          <reference field="4294967294" count="1" selected="0">
            <x v="0"/>
          </reference>
          <reference field="3" count="1" selected="0">
            <x v="1"/>
          </reference>
        </references>
      </pivotArea>
    </chartFormat>
    <chartFormat chart="20" format="15">
      <pivotArea type="data" outline="0" fieldPosition="0">
        <references count="2">
          <reference field="4294967294" count="1" selected="0">
            <x v="0"/>
          </reference>
          <reference field="3" count="1" selected="0">
            <x v="2"/>
          </reference>
        </references>
      </pivotArea>
    </chartFormat>
    <chartFormat chart="20" format="16">
      <pivotArea type="data" outline="0" fieldPosition="0">
        <references count="2">
          <reference field="4294967294" count="1" selected="0">
            <x v="0"/>
          </reference>
          <reference field="3" count="1" selected="0">
            <x v="3"/>
          </reference>
        </references>
      </pivotArea>
    </chartFormat>
  </chartFormats>
  <pivotTableStyleInfo name="PivotStyleDark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F0311C08-1A59-4FB5-A2DF-BCCFCF5BE462}"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O3:P8" firstHeaderRow="1" firstDataRow="1" firstDataCol="1"/>
  <pivotFields count="14">
    <pivotField showAll="0">
      <items count="5">
        <item x="0"/>
        <item x="1"/>
        <item x="2"/>
        <item x="3"/>
        <item t="default"/>
      </items>
    </pivotField>
    <pivotField showAll="0">
      <items count="9">
        <item x="3"/>
        <item x="0"/>
        <item x="6"/>
        <item x="2"/>
        <item x="7"/>
        <item x="1"/>
        <item x="5"/>
        <item x="4"/>
        <item t="default"/>
      </items>
    </pivotField>
    <pivotField showAll="0"/>
    <pivotField axis="axisRow" showAll="0">
      <items count="5">
        <item x="0"/>
        <item x="2"/>
        <item x="1"/>
        <item x="3"/>
        <item t="default"/>
      </items>
    </pivotField>
    <pivotField showAll="0"/>
    <pivotField numFmtId="14" showAll="0">
      <items count="84">
        <item x="68"/>
        <item x="10"/>
        <item x="30"/>
        <item x="26"/>
        <item x="37"/>
        <item x="46"/>
        <item x="74"/>
        <item x="77"/>
        <item x="81"/>
        <item x="66"/>
        <item x="16"/>
        <item x="6"/>
        <item x="59"/>
        <item x="38"/>
        <item x="33"/>
        <item x="8"/>
        <item x="64"/>
        <item x="34"/>
        <item x="73"/>
        <item x="52"/>
        <item x="14"/>
        <item x="29"/>
        <item x="54"/>
        <item x="82"/>
        <item x="28"/>
        <item x="49"/>
        <item x="2"/>
        <item x="23"/>
        <item x="56"/>
        <item x="21"/>
        <item x="45"/>
        <item x="69"/>
        <item x="22"/>
        <item x="40"/>
        <item x="80"/>
        <item x="41"/>
        <item x="78"/>
        <item x="75"/>
        <item x="36"/>
        <item x="71"/>
        <item x="79"/>
        <item x="9"/>
        <item x="0"/>
        <item x="55"/>
        <item x="61"/>
        <item x="76"/>
        <item x="60"/>
        <item x="17"/>
        <item x="57"/>
        <item x="43"/>
        <item x="62"/>
        <item x="11"/>
        <item x="13"/>
        <item x="53"/>
        <item x="51"/>
        <item x="50"/>
        <item x="15"/>
        <item x="4"/>
        <item x="65"/>
        <item x="18"/>
        <item x="39"/>
        <item x="7"/>
        <item x="27"/>
        <item x="48"/>
        <item x="31"/>
        <item x="32"/>
        <item x="1"/>
        <item x="19"/>
        <item x="3"/>
        <item x="72"/>
        <item x="35"/>
        <item x="24"/>
        <item x="25"/>
        <item x="63"/>
        <item x="47"/>
        <item x="44"/>
        <item x="67"/>
        <item x="12"/>
        <item x="42"/>
        <item x="20"/>
        <item x="5"/>
        <item x="58"/>
        <item x="70"/>
        <item t="default"/>
      </items>
    </pivotField>
    <pivotField showAll="0"/>
    <pivotField showAll="0"/>
    <pivotField showAll="0"/>
    <pivotField showAll="0"/>
    <pivotField dataField="1"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3"/>
  </rowFields>
  <rowItems count="5">
    <i>
      <x/>
    </i>
    <i>
      <x v="1"/>
    </i>
    <i>
      <x v="2"/>
    </i>
    <i>
      <x v="3"/>
    </i>
    <i t="grand">
      <x/>
    </i>
  </rowItems>
  <colItems count="1">
    <i/>
  </colItems>
  <dataFields count="1">
    <dataField name="Average of Unit Price" fld="10" subtotal="average" baseField="0" baseItem="0" numFmtId="3"/>
  </dataFields>
  <formats count="16">
    <format dxfId="761">
      <pivotArea type="all" dataOnly="0" outline="0" fieldPosition="0"/>
    </format>
    <format dxfId="760">
      <pivotArea outline="0" collapsedLevelsAreSubtotals="1" fieldPosition="0"/>
    </format>
    <format dxfId="759">
      <pivotArea field="0" type="button" dataOnly="0" labelOnly="1" outline="0"/>
    </format>
    <format dxfId="758">
      <pivotArea dataOnly="0" labelOnly="1" grandRow="1" outline="0" fieldPosition="0"/>
    </format>
    <format dxfId="757">
      <pivotArea dataOnly="0" labelOnly="1" outline="0" axis="axisValues" fieldPosition="0"/>
    </format>
    <format dxfId="756">
      <pivotArea type="all" dataOnly="0" outline="0" fieldPosition="0"/>
    </format>
    <format dxfId="755">
      <pivotArea outline="0" collapsedLevelsAreSubtotals="1" fieldPosition="0"/>
    </format>
    <format dxfId="754">
      <pivotArea field="0" type="button" dataOnly="0" labelOnly="1" outline="0"/>
    </format>
    <format dxfId="753">
      <pivotArea dataOnly="0" labelOnly="1" grandRow="1" outline="0" fieldPosition="0"/>
    </format>
    <format dxfId="752">
      <pivotArea dataOnly="0" labelOnly="1" outline="0" axis="axisValues" fieldPosition="0"/>
    </format>
    <format dxfId="751">
      <pivotArea type="all" dataOnly="0" outline="0" fieldPosition="0"/>
    </format>
    <format dxfId="750">
      <pivotArea outline="0" collapsedLevelsAreSubtotals="1" fieldPosition="0"/>
    </format>
    <format dxfId="749">
      <pivotArea field="0" type="button" dataOnly="0" labelOnly="1" outline="0"/>
    </format>
    <format dxfId="748">
      <pivotArea dataOnly="0" labelOnly="1" grandRow="1" outline="0" fieldPosition="0"/>
    </format>
    <format dxfId="747">
      <pivotArea dataOnly="0" labelOnly="1" outline="0" axis="axisValues" fieldPosition="0"/>
    </format>
    <format dxfId="746">
      <pivotArea outline="0" collapsedLevelsAreSubtotals="1" fieldPosition="0"/>
    </format>
  </formats>
  <pivotTableStyleInfo name="PivotStyleDark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C0433A42-BBE0-48CF-8D10-BD87ECC10C8B}" autoFormatId="16" applyNumberFormats="0" applyBorderFormats="0" applyFontFormats="0" applyPatternFormats="0" applyAlignmentFormats="0" applyWidthHeightFormats="0">
  <queryTableRefresh nextId="13">
    <queryTableFields count="12">
      <queryTableField id="1" name="Warehouse" tableColumnId="1"/>
      <queryTableField id="2" name="Region" tableColumnId="2"/>
      <queryTableField id="3" name="Product Name" tableColumnId="3"/>
      <queryTableField id="4" name="Category" tableColumnId="4"/>
      <queryTableField id="5" name="Subcategory" tableColumnId="5"/>
      <queryTableField id="6" name="Order Date" tableColumnId="6"/>
      <queryTableField id="12" dataBound="0" tableColumnId="12"/>
      <queryTableField id="11" dataBound="0" tableColumnId="11"/>
      <queryTableField id="10" dataBound="0" tableColumnId="10"/>
      <queryTableField id="7" name="Quantity" tableColumnId="7"/>
      <queryTableField id="8" name="Unit Price" tableColumnId="8"/>
      <queryTableField id="9" name="Total Sales" tableColumnId="9"/>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arehouse" xr10:uid="{DEB584D4-410E-48CD-B5B5-9D507314464C}" sourceName="Warehouse">
  <pivotTables>
    <pivotTable tabId="3" name="PivotTable1"/>
    <pivotTable tabId="3" name="PivotTable10"/>
    <pivotTable tabId="3" name="PivotTable11"/>
    <pivotTable tabId="3" name="PivotTable12"/>
    <pivotTable tabId="3" name="PivotTable2"/>
    <pivotTable tabId="3" name="PivotTable3"/>
    <pivotTable tabId="3" name="PivotTable5"/>
    <pivotTable tabId="3" name="PivotTable6"/>
    <pivotTable tabId="3" name="PivotTable7"/>
    <pivotTable tabId="3" name="PivotTable8"/>
    <pivotTable tabId="3" name="PivotTable9"/>
  </pivotTables>
  <data>
    <tabular pivotCacheId="1629109224">
      <items count="4">
        <i x="0" s="1"/>
        <i x="1" s="1"/>
        <i x="2"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F8DA8627-CB75-4090-8EEF-BB0EEAF9CCB7}" sourceName="Region">
  <pivotTables>
    <pivotTable tabId="3" name="PivotTable1"/>
    <pivotTable tabId="3" name="PivotTable10"/>
    <pivotTable tabId="3" name="PivotTable11"/>
    <pivotTable tabId="3" name="PivotTable12"/>
    <pivotTable tabId="3" name="PivotTable2"/>
    <pivotTable tabId="3" name="PivotTable3"/>
    <pivotTable tabId="3" name="PivotTable4"/>
    <pivotTable tabId="3" name="PivotTable5"/>
    <pivotTable tabId="3" name="PivotTable6"/>
    <pivotTable tabId="3" name="PivotTable7"/>
    <pivotTable tabId="3" name="PivotTable8"/>
    <pivotTable tabId="3" name="PivotTable9"/>
  </pivotTables>
  <data>
    <tabular pivotCacheId="1629109224">
      <items count="8">
        <i x="3" s="1"/>
        <i x="0" s="1"/>
        <i x="6" s="1"/>
        <i x="2" s="1"/>
        <i x="7" s="1"/>
        <i x="1" s="1"/>
        <i x="5"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C40B325A-4704-4932-91EC-3EAA4211CFBD}" sourceName="Category">
  <pivotTables>
    <pivotTable tabId="3" name="PivotTable1"/>
    <pivotTable tabId="3" name="PivotTable10"/>
    <pivotTable tabId="3" name="PivotTable11"/>
    <pivotTable tabId="3" name="PivotTable12"/>
    <pivotTable tabId="3" name="PivotTable2"/>
    <pivotTable tabId="3" name="PivotTable3"/>
    <pivotTable tabId="3" name="PivotTable4"/>
    <pivotTable tabId="3" name="PivotTable5"/>
    <pivotTable tabId="3" name="PivotTable6"/>
    <pivotTable tabId="3" name="PivotTable7"/>
    <pivotTable tabId="3" name="PivotTable8"/>
    <pivotTable tabId="3" name="PivotTable9"/>
  </pivotTables>
  <data>
    <tabular pivotCacheId="1629109224">
      <items count="4">
        <i x="0" s="1"/>
        <i x="2" s="1"/>
        <i x="1"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Warehouse" xr10:uid="{116297B5-1020-4D5F-BF42-ECEAEFDF13C7}" cache="Slicer_Warehouse" caption="Warehouse" style="SlicerStyleOther1" rowHeight="241300"/>
  <slicer name="Region" xr10:uid="{BE09AC5B-92C2-4D6E-B288-9ABFB29747D6}" cache="Slicer_Region" caption="Region" style="SlicerStyleOther1" rowHeight="241300"/>
  <slicer name="Category" xr10:uid="{64336416-5E3E-4579-BE90-8F801A62BFBA}" cache="Slicer_Category" caption="Category" style="SlicerStyleOther1"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0761E26-27D7-4050-A8E9-F3D1E9AA8662}" name="Orders" displayName="Orders" ref="A1:L101" tableType="queryTable" totalsRowShown="0" headerRowDxfId="562" dataDxfId="561">
  <autoFilter ref="A1:L101" xr:uid="{30761E26-27D7-4050-A8E9-F3D1E9AA8662}"/>
  <tableColumns count="12">
    <tableColumn id="1" xr3:uid="{D167FFCE-AB35-414B-9C83-A5800371D4A4}" uniqueName="1" name="Warehouse" queryTableFieldId="1" dataDxfId="560"/>
    <tableColumn id="2" xr3:uid="{18088B74-42FB-4130-AA4D-C0FC46581411}" uniqueName="2" name="Region" queryTableFieldId="2" dataDxfId="559"/>
    <tableColumn id="3" xr3:uid="{AB794D8F-166A-4194-8FB7-372BC6FC69FD}" uniqueName="3" name="Product Name" queryTableFieldId="3" dataDxfId="558"/>
    <tableColumn id="4" xr3:uid="{E7E9D048-21E1-48F7-90D6-8F85F33AEB2A}" uniqueName="4" name="Category" queryTableFieldId="4" dataDxfId="557"/>
    <tableColumn id="5" xr3:uid="{059952A9-8639-4FF0-BEF6-9880ED2E01D4}" uniqueName="5" name="Subcategory" queryTableFieldId="5" dataDxfId="556"/>
    <tableColumn id="6" xr3:uid="{6DD7E398-CA53-408D-9B03-96C520008B7F}" uniqueName="6" name="Order Date" queryTableFieldId="6" dataDxfId="555"/>
    <tableColumn id="12" xr3:uid="{AA623EFD-0D92-4774-89AE-C3234BA31897}" uniqueName="12" name="Year" queryTableFieldId="12" dataDxfId="554">
      <calculatedColumnFormula>YEAR(Orders[[#This Row],[Order Date]])</calculatedColumnFormula>
    </tableColumn>
    <tableColumn id="11" xr3:uid="{877F0AFD-ADFF-4741-A9F3-06C5A128ED7B}" uniqueName="11" name="Month" queryTableFieldId="11" dataDxfId="553">
      <calculatedColumnFormula>TEXT(Orders[[#This Row],[Order Date]],"mmmm")</calculatedColumnFormula>
    </tableColumn>
    <tableColumn id="10" xr3:uid="{EC92BF3E-5529-454E-92A5-5FDF2B706B83}" uniqueName="10" name="Quarter" queryTableFieldId="10" dataDxfId="552">
      <calculatedColumnFormula>"Q"&amp;ROUNDUP(MONTH(Orders[[#This Row],[Order Date]])/3,0)</calculatedColumnFormula>
    </tableColumn>
    <tableColumn id="7" xr3:uid="{1363F784-04FA-43F7-B728-078CFBC9CAE9}" uniqueName="7" name="Quantity" queryTableFieldId="7" dataDxfId="551"/>
    <tableColumn id="8" xr3:uid="{197B0D17-14E5-49F0-A472-7CE1C3F0B58E}" uniqueName="8" name="Unit Price" queryTableFieldId="8" dataDxfId="550"/>
    <tableColumn id="9" xr3:uid="{D7DEEE9B-512D-4D28-9C23-334E1079F958}" uniqueName="9" name="Total Sales" queryTableFieldId="9" dataDxfId="549"/>
  </tableColumns>
  <tableStyleInfo name="TableStyleMedium1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65011C-86C4-437C-BB34-A70D754E2E4B}">
  <dimension ref="A3:BB99"/>
  <sheetViews>
    <sheetView zoomScale="63" workbookViewId="0">
      <selection activeCell="C14" sqref="C14"/>
    </sheetView>
  </sheetViews>
  <sheetFormatPr defaultRowHeight="28.5" x14ac:dyDescent="1.4"/>
  <cols>
    <col min="1" max="1" width="19.5234375" style="6" bestFit="1" customWidth="1"/>
    <col min="2" max="2" width="21.62890625" style="6" bestFit="1" customWidth="1"/>
    <col min="3" max="3" width="17.5234375" style="6" bestFit="1" customWidth="1"/>
    <col min="4" max="5" width="19.5234375" style="6" bestFit="1" customWidth="1"/>
    <col min="6" max="6" width="8.83984375" style="6"/>
    <col min="7" max="7" width="21.62890625" style="6" bestFit="1" customWidth="1"/>
    <col min="8" max="8" width="19.5234375" style="6" bestFit="1" customWidth="1"/>
    <col min="9" max="9" width="21.83984375" style="6" bestFit="1" customWidth="1"/>
    <col min="10" max="11" width="21.83984375" style="6" customWidth="1"/>
    <col min="12" max="12" width="19.5234375" style="6" bestFit="1" customWidth="1"/>
    <col min="13" max="13" width="13.89453125" style="6" bestFit="1" customWidth="1"/>
    <col min="14" max="14" width="8.83984375" style="6"/>
    <col min="15" max="15" width="19.5234375" style="6" bestFit="1" customWidth="1"/>
    <col min="16" max="16" width="22.578125" style="6" bestFit="1" customWidth="1"/>
    <col min="17" max="19" width="8.83984375" style="6"/>
    <col min="20" max="20" width="22.578125" style="6" bestFit="1" customWidth="1"/>
    <col min="21" max="21" width="19.5234375" style="6" bestFit="1" customWidth="1"/>
    <col min="22" max="22" width="21.83984375" style="6" bestFit="1" customWidth="1"/>
    <col min="23" max="23" width="17.5234375" style="6" bestFit="1" customWidth="1"/>
    <col min="24" max="24" width="17.5234375" style="6" customWidth="1"/>
    <col min="25" max="26" width="19.5234375" style="6" bestFit="1" customWidth="1"/>
    <col min="27" max="28" width="8.83984375" style="6"/>
    <col min="29" max="30" width="19.5234375" style="6" bestFit="1" customWidth="1"/>
    <col min="31" max="37" width="8.83984375" style="6"/>
    <col min="38" max="39" width="19.5234375" style="6" bestFit="1" customWidth="1"/>
    <col min="40" max="52" width="8.83984375" style="6"/>
    <col min="53" max="54" width="19.5234375" style="6" bestFit="1" customWidth="1"/>
    <col min="55" max="16384" width="8.83984375" style="6"/>
  </cols>
  <sheetData>
    <row r="3" spans="1:54" x14ac:dyDescent="1.4">
      <c r="A3" s="8" t="s">
        <v>178</v>
      </c>
      <c r="B3" s="6" t="s">
        <v>180</v>
      </c>
      <c r="D3" s="8" t="s">
        <v>178</v>
      </c>
      <c r="E3" s="6" t="s">
        <v>180</v>
      </c>
      <c r="G3" s="8" t="s">
        <v>178</v>
      </c>
      <c r="H3" s="6" t="s">
        <v>180</v>
      </c>
      <c r="I3"/>
      <c r="L3" s="8" t="s">
        <v>178</v>
      </c>
      <c r="M3" s="6" t="s">
        <v>183</v>
      </c>
      <c r="O3" s="8" t="s">
        <v>178</v>
      </c>
      <c r="P3" s="6" t="s">
        <v>184</v>
      </c>
      <c r="Q3"/>
      <c r="T3" s="6" t="s">
        <v>184</v>
      </c>
      <c r="U3" s="6" t="s">
        <v>180</v>
      </c>
      <c r="V3" s="6" t="s">
        <v>182</v>
      </c>
      <c r="W3" s="6" t="s">
        <v>200</v>
      </c>
      <c r="Y3" s="8" t="s">
        <v>178</v>
      </c>
      <c r="Z3" s="6" t="s">
        <v>180</v>
      </c>
      <c r="AA3"/>
      <c r="AC3" s="8" t="s">
        <v>178</v>
      </c>
      <c r="AD3" s="6" t="s">
        <v>180</v>
      </c>
      <c r="AE3"/>
      <c r="AL3" s="8" t="s">
        <v>178</v>
      </c>
      <c r="AM3" s="6" t="s">
        <v>180</v>
      </c>
      <c r="AN3"/>
      <c r="BA3" s="8" t="s">
        <v>178</v>
      </c>
      <c r="BB3" s="6" t="s">
        <v>180</v>
      </c>
    </row>
    <row r="4" spans="1:54" x14ac:dyDescent="1.4">
      <c r="A4" s="6" t="s">
        <v>111</v>
      </c>
      <c r="B4" s="9">
        <v>130781.79999999999</v>
      </c>
      <c r="D4" s="6" t="s">
        <v>27</v>
      </c>
      <c r="E4" s="9">
        <v>93921.63</v>
      </c>
      <c r="G4" s="6" t="s">
        <v>32</v>
      </c>
      <c r="H4" s="9">
        <v>69670.8</v>
      </c>
      <c r="I4"/>
      <c r="J4" s="11"/>
      <c r="K4" s="11"/>
      <c r="L4" s="6" t="s">
        <v>48</v>
      </c>
      <c r="M4" s="11">
        <v>11</v>
      </c>
      <c r="O4" s="6" t="s">
        <v>167</v>
      </c>
      <c r="P4" s="11">
        <v>240.42620689655175</v>
      </c>
      <c r="Q4"/>
      <c r="T4" s="12">
        <v>244.01069999999999</v>
      </c>
      <c r="U4" s="9">
        <v>465208.9800000001</v>
      </c>
      <c r="V4" s="11">
        <v>100</v>
      </c>
      <c r="W4" s="11">
        <v>1971</v>
      </c>
      <c r="X4" s="11"/>
      <c r="Y4" s="6" t="s">
        <v>124</v>
      </c>
      <c r="Z4" s="9">
        <v>22940.54</v>
      </c>
      <c r="AA4"/>
      <c r="AC4" s="6" t="s">
        <v>188</v>
      </c>
      <c r="AD4" s="9">
        <v>41929.58</v>
      </c>
      <c r="AE4"/>
      <c r="AL4" s="6" t="s">
        <v>48</v>
      </c>
      <c r="AM4" s="9">
        <v>70051.91</v>
      </c>
      <c r="AN4"/>
      <c r="BA4" s="6" t="s">
        <v>167</v>
      </c>
      <c r="BB4" s="9">
        <v>137745.85</v>
      </c>
    </row>
    <row r="5" spans="1:54" x14ac:dyDescent="1.4">
      <c r="A5" s="6" t="s">
        <v>9</v>
      </c>
      <c r="B5" s="9">
        <v>126612.37000000001</v>
      </c>
      <c r="D5" s="6" t="s">
        <v>91</v>
      </c>
      <c r="E5" s="9">
        <v>78202.019999999975</v>
      </c>
      <c r="G5" s="6" t="s">
        <v>65</v>
      </c>
      <c r="H5" s="9">
        <v>59442.68</v>
      </c>
      <c r="I5"/>
      <c r="J5" s="11"/>
      <c r="K5" s="11"/>
      <c r="L5" s="6" t="s">
        <v>27</v>
      </c>
      <c r="M5" s="11">
        <v>18</v>
      </c>
      <c r="O5" s="6" t="s">
        <v>171</v>
      </c>
      <c r="P5" s="11">
        <v>269.96733333333333</v>
      </c>
      <c r="Q5"/>
      <c r="T5"/>
      <c r="U5"/>
      <c r="Y5" s="6" t="s">
        <v>38</v>
      </c>
      <c r="Z5" s="9">
        <v>20854.710000000003</v>
      </c>
      <c r="AA5"/>
      <c r="AC5" s="6" t="s">
        <v>189</v>
      </c>
      <c r="AD5" s="9">
        <v>51792.209999999992</v>
      </c>
      <c r="AE5"/>
      <c r="AL5" s="6" t="s">
        <v>27</v>
      </c>
      <c r="AM5" s="9">
        <v>93921.63</v>
      </c>
      <c r="AN5"/>
      <c r="BA5" s="6" t="s">
        <v>171</v>
      </c>
      <c r="BB5" s="9">
        <v>73292.75999999998</v>
      </c>
    </row>
    <row r="6" spans="1:54" x14ac:dyDescent="1.4">
      <c r="A6" s="6" t="s">
        <v>80</v>
      </c>
      <c r="B6" s="9">
        <v>123914.78000000003</v>
      </c>
      <c r="D6" s="6" t="s">
        <v>75</v>
      </c>
      <c r="E6" s="9">
        <v>76583.179999999993</v>
      </c>
      <c r="G6" s="6" t="s">
        <v>137</v>
      </c>
      <c r="H6" s="9">
        <v>58367.409999999989</v>
      </c>
      <c r="I6"/>
      <c r="J6" s="11"/>
      <c r="K6" s="11"/>
      <c r="L6" s="6" t="s">
        <v>57</v>
      </c>
      <c r="M6" s="11">
        <v>8</v>
      </c>
      <c r="O6" s="6" t="s">
        <v>169</v>
      </c>
      <c r="P6" s="11">
        <v>231.09424999999996</v>
      </c>
      <c r="Q6"/>
      <c r="T6"/>
      <c r="U6"/>
      <c r="Y6" s="6" t="s">
        <v>141</v>
      </c>
      <c r="Z6" s="9">
        <v>33972.69</v>
      </c>
      <c r="AA6"/>
      <c r="AC6" s="6" t="s">
        <v>190</v>
      </c>
      <c r="AD6" s="9">
        <v>34611.56</v>
      </c>
      <c r="AE6"/>
      <c r="AL6" s="6" t="s">
        <v>57</v>
      </c>
      <c r="AM6" s="9">
        <v>24693.39</v>
      </c>
      <c r="AN6"/>
      <c r="BA6" s="6" t="s">
        <v>169</v>
      </c>
      <c r="BB6" s="9">
        <v>165860.60999999999</v>
      </c>
    </row>
    <row r="7" spans="1:54" x14ac:dyDescent="1.4">
      <c r="A7" s="6" t="s">
        <v>140</v>
      </c>
      <c r="B7" s="9">
        <v>83900.029999999984</v>
      </c>
      <c r="D7" s="6" t="s">
        <v>48</v>
      </c>
      <c r="E7" s="9">
        <v>70051.91</v>
      </c>
      <c r="G7" s="6" t="s">
        <v>177</v>
      </c>
      <c r="H7" s="9">
        <v>41460.35</v>
      </c>
      <c r="I7"/>
      <c r="J7" s="11"/>
      <c r="K7" s="11"/>
      <c r="L7" s="6" t="s">
        <v>77</v>
      </c>
      <c r="M7" s="11">
        <v>15</v>
      </c>
      <c r="O7" s="6" t="s">
        <v>174</v>
      </c>
      <c r="P7" s="11">
        <v>258.46437500000002</v>
      </c>
      <c r="Q7"/>
      <c r="T7"/>
      <c r="U7"/>
      <c r="Y7" s="6" t="s">
        <v>120</v>
      </c>
      <c r="Z7" s="9">
        <v>9829.7900000000009</v>
      </c>
      <c r="AA7"/>
      <c r="AC7" s="6" t="s">
        <v>191</v>
      </c>
      <c r="AD7" s="9">
        <v>44994.149999999994</v>
      </c>
      <c r="AE7"/>
      <c r="AL7" s="6" t="s">
        <v>77</v>
      </c>
      <c r="AM7" s="9">
        <v>50291.1</v>
      </c>
      <c r="AN7"/>
      <c r="BA7" s="6" t="s">
        <v>174</v>
      </c>
      <c r="BB7" s="9">
        <v>88309.760000000009</v>
      </c>
    </row>
    <row r="8" spans="1:54" x14ac:dyDescent="1.4">
      <c r="A8" s="6" t="s">
        <v>179</v>
      </c>
      <c r="B8" s="9">
        <v>465208.98</v>
      </c>
      <c r="D8" s="6" t="s">
        <v>77</v>
      </c>
      <c r="E8" s="9">
        <v>50291.1</v>
      </c>
      <c r="G8" s="6" t="s">
        <v>41</v>
      </c>
      <c r="H8" s="9">
        <v>39755.689999999995</v>
      </c>
      <c r="I8"/>
      <c r="J8" s="11"/>
      <c r="K8" s="11"/>
      <c r="L8" s="6" t="s">
        <v>81</v>
      </c>
      <c r="M8" s="11">
        <v>9</v>
      </c>
      <c r="O8" s="6" t="s">
        <v>179</v>
      </c>
      <c r="P8" s="11">
        <v>244.01070000000018</v>
      </c>
      <c r="Q8"/>
      <c r="T8"/>
      <c r="U8"/>
      <c r="Y8" s="6" t="s">
        <v>97</v>
      </c>
      <c r="Z8" s="9">
        <v>34376.289999999994</v>
      </c>
      <c r="AA8"/>
      <c r="AC8" s="6" t="s">
        <v>192</v>
      </c>
      <c r="AD8" s="9">
        <v>45878.020000000004</v>
      </c>
      <c r="AE8"/>
      <c r="AL8" s="6" t="s">
        <v>81</v>
      </c>
      <c r="AM8" s="9">
        <v>25014.11</v>
      </c>
      <c r="AN8"/>
      <c r="BA8" s="6" t="s">
        <v>179</v>
      </c>
      <c r="BB8" s="9">
        <v>465208.98</v>
      </c>
    </row>
    <row r="9" spans="1:54" x14ac:dyDescent="1.4">
      <c r="D9" s="6" t="s">
        <v>31</v>
      </c>
      <c r="E9" s="9">
        <v>46451.640000000007</v>
      </c>
      <c r="G9" s="6" t="s">
        <v>49</v>
      </c>
      <c r="H9" s="9">
        <v>37901.560000000005</v>
      </c>
      <c r="I9"/>
      <c r="J9" s="11"/>
      <c r="K9" s="11"/>
      <c r="L9" s="6" t="s">
        <v>75</v>
      </c>
      <c r="M9" s="11">
        <v>16</v>
      </c>
      <c r="O9"/>
      <c r="P9"/>
      <c r="Q9"/>
      <c r="Y9" s="6" t="s">
        <v>179</v>
      </c>
      <c r="Z9" s="9">
        <v>121974.02</v>
      </c>
      <c r="AA9"/>
      <c r="AC9" s="6" t="s">
        <v>193</v>
      </c>
      <c r="AD9" s="9">
        <v>18790.09</v>
      </c>
      <c r="AE9"/>
      <c r="AL9" s="6" t="s">
        <v>75</v>
      </c>
      <c r="AM9" s="9">
        <v>76583.179999999993</v>
      </c>
      <c r="AN9"/>
      <c r="BA9"/>
      <c r="BB9"/>
    </row>
    <row r="10" spans="1:54" x14ac:dyDescent="1.4">
      <c r="D10" s="6" t="s">
        <v>81</v>
      </c>
      <c r="E10" s="9">
        <v>25014.11</v>
      </c>
      <c r="G10" s="6" t="s">
        <v>69</v>
      </c>
      <c r="H10" s="9">
        <v>36636.47</v>
      </c>
      <c r="I10"/>
      <c r="J10" s="11"/>
      <c r="K10" s="11"/>
      <c r="L10" s="6" t="s">
        <v>91</v>
      </c>
      <c r="M10" s="11">
        <v>16</v>
      </c>
      <c r="O10"/>
      <c r="P10"/>
      <c r="Q10"/>
      <c r="Y10"/>
      <c r="Z10"/>
      <c r="AA10"/>
      <c r="AC10" s="6" t="s">
        <v>194</v>
      </c>
      <c r="AD10" s="9">
        <v>58481.259999999995</v>
      </c>
      <c r="AE10"/>
      <c r="AL10" s="6" t="s">
        <v>91</v>
      </c>
      <c r="AM10" s="9">
        <v>78202.019999999975</v>
      </c>
      <c r="AN10"/>
      <c r="BA10"/>
      <c r="BB10"/>
    </row>
    <row r="11" spans="1:54" x14ac:dyDescent="1.4">
      <c r="D11" s="6" t="s">
        <v>57</v>
      </c>
      <c r="E11" s="9">
        <v>24693.39</v>
      </c>
      <c r="G11" s="6" t="s">
        <v>97</v>
      </c>
      <c r="H11" s="9">
        <v>34376.289999999994</v>
      </c>
      <c r="I11"/>
      <c r="J11" s="11"/>
      <c r="K11" s="11"/>
      <c r="L11" s="6" t="s">
        <v>31</v>
      </c>
      <c r="M11" s="11">
        <v>7</v>
      </c>
      <c r="O11"/>
      <c r="P11"/>
      <c r="Q11"/>
      <c r="Y11"/>
      <c r="Z11"/>
      <c r="AA11"/>
      <c r="AC11" s="6" t="s">
        <v>195</v>
      </c>
      <c r="AD11" s="9">
        <v>40455.1</v>
      </c>
      <c r="AE11"/>
      <c r="AL11" s="6" t="s">
        <v>31</v>
      </c>
      <c r="AM11" s="9">
        <v>46451.640000000007</v>
      </c>
      <c r="AN11"/>
      <c r="BA11"/>
      <c r="BB11"/>
    </row>
    <row r="12" spans="1:54" x14ac:dyDescent="1.4">
      <c r="D12" s="6" t="s">
        <v>179</v>
      </c>
      <c r="E12" s="9">
        <v>465208.98</v>
      </c>
      <c r="G12" s="6" t="s">
        <v>141</v>
      </c>
      <c r="H12" s="9">
        <v>33972.69</v>
      </c>
      <c r="I12"/>
      <c r="J12" s="11"/>
      <c r="K12" s="11"/>
      <c r="L12" s="6" t="s">
        <v>179</v>
      </c>
      <c r="M12" s="11">
        <v>100</v>
      </c>
      <c r="O12"/>
      <c r="P12"/>
      <c r="Q12"/>
      <c r="Y12"/>
      <c r="Z12"/>
      <c r="AA12"/>
      <c r="AC12" s="6" t="s">
        <v>196</v>
      </c>
      <c r="AD12" s="9">
        <v>51482.559999999998</v>
      </c>
      <c r="AE12"/>
      <c r="AL12" s="6" t="s">
        <v>179</v>
      </c>
      <c r="AM12" s="9">
        <v>465208.98</v>
      </c>
      <c r="AN12"/>
      <c r="BA12"/>
      <c r="BB12"/>
    </row>
    <row r="13" spans="1:54" x14ac:dyDescent="1.4">
      <c r="G13" s="6" t="s">
        <v>124</v>
      </c>
      <c r="H13" s="9">
        <v>22940.54</v>
      </c>
      <c r="I13"/>
      <c r="J13" s="11"/>
      <c r="K13" s="11"/>
      <c r="L13"/>
      <c r="M13"/>
      <c r="O13"/>
      <c r="P13"/>
      <c r="Q13"/>
      <c r="Y13"/>
      <c r="Z13"/>
      <c r="AA13"/>
      <c r="AC13" s="6" t="s">
        <v>197</v>
      </c>
      <c r="AD13" s="9">
        <v>4613.5</v>
      </c>
      <c r="AE13"/>
      <c r="AL13"/>
      <c r="AM13"/>
      <c r="AN13"/>
    </row>
    <row r="14" spans="1:54" x14ac:dyDescent="1.4">
      <c r="G14" s="6" t="s">
        <v>38</v>
      </c>
      <c r="H14" s="9">
        <v>20854.710000000003</v>
      </c>
      <c r="I14"/>
      <c r="J14" s="11"/>
      <c r="K14" s="11"/>
      <c r="L14"/>
      <c r="M14"/>
      <c r="O14"/>
      <c r="P14"/>
      <c r="Q14"/>
      <c r="Y14"/>
      <c r="Z14"/>
      <c r="AA14"/>
      <c r="AC14" s="6" t="s">
        <v>198</v>
      </c>
      <c r="AD14" s="9">
        <v>62235.53</v>
      </c>
      <c r="AE14"/>
      <c r="AL14"/>
      <c r="AM14"/>
      <c r="AN14"/>
    </row>
    <row r="15" spans="1:54" x14ac:dyDescent="1.4">
      <c r="G15" s="6" t="s">
        <v>120</v>
      </c>
      <c r="H15" s="9">
        <v>9829.7900000000009</v>
      </c>
      <c r="I15"/>
      <c r="J15" s="11"/>
      <c r="K15" s="11"/>
      <c r="L15"/>
      <c r="M15"/>
      <c r="O15"/>
      <c r="P15"/>
      <c r="Q15"/>
      <c r="Y15"/>
      <c r="Z15"/>
      <c r="AA15"/>
      <c r="AC15" s="6" t="s">
        <v>199</v>
      </c>
      <c r="AD15" s="9">
        <v>9945.4199999999983</v>
      </c>
      <c r="AE15"/>
      <c r="AL15"/>
      <c r="AM15"/>
      <c r="AN15"/>
    </row>
    <row r="16" spans="1:54" x14ac:dyDescent="1.4">
      <c r="G16" s="6" t="s">
        <v>179</v>
      </c>
      <c r="H16" s="9">
        <v>465208.97999999992</v>
      </c>
      <c r="I16"/>
      <c r="J16" s="11"/>
      <c r="K16" s="11"/>
      <c r="L16"/>
      <c r="M16"/>
      <c r="O16"/>
      <c r="P16"/>
      <c r="Q16"/>
      <c r="Y16"/>
      <c r="Z16"/>
      <c r="AA16"/>
      <c r="AC16" s="6" t="s">
        <v>179</v>
      </c>
      <c r="AD16" s="9">
        <v>465208.97999999992</v>
      </c>
      <c r="AE16"/>
      <c r="AL16"/>
      <c r="AM16"/>
      <c r="AN16"/>
    </row>
    <row r="17" spans="1:40" x14ac:dyDescent="1.4">
      <c r="O17"/>
      <c r="P17"/>
      <c r="Q17"/>
      <c r="Y17"/>
      <c r="Z17"/>
      <c r="AA17"/>
      <c r="AC17"/>
      <c r="AD17"/>
      <c r="AE17"/>
      <c r="AL17"/>
      <c r="AM17"/>
      <c r="AN17"/>
    </row>
    <row r="18" spans="1:40" x14ac:dyDescent="1.4">
      <c r="O18"/>
      <c r="P18"/>
      <c r="Q18"/>
      <c r="Y18"/>
      <c r="Z18"/>
      <c r="AA18"/>
      <c r="AC18"/>
      <c r="AD18"/>
      <c r="AE18"/>
      <c r="AL18"/>
      <c r="AM18"/>
      <c r="AN18"/>
    </row>
    <row r="19" spans="1:40" x14ac:dyDescent="1.4">
      <c r="O19"/>
      <c r="P19"/>
      <c r="Q19"/>
      <c r="Y19"/>
      <c r="Z19"/>
      <c r="AA19"/>
      <c r="AC19"/>
      <c r="AD19"/>
      <c r="AE19"/>
      <c r="AL19"/>
      <c r="AM19"/>
      <c r="AN19"/>
    </row>
    <row r="20" spans="1:40" x14ac:dyDescent="1.4">
      <c r="O20"/>
      <c r="P20"/>
      <c r="Q20"/>
      <c r="Y20"/>
      <c r="Z20"/>
      <c r="AA20"/>
      <c r="AC20"/>
      <c r="AD20"/>
      <c r="AE20"/>
      <c r="AL20"/>
      <c r="AM20"/>
      <c r="AN20"/>
    </row>
    <row r="21" spans="1:40" x14ac:dyDescent="1.4">
      <c r="AC21"/>
      <c r="AD21"/>
    </row>
    <row r="22" spans="1:40" x14ac:dyDescent="1.4">
      <c r="AC22"/>
      <c r="AD22"/>
    </row>
    <row r="23" spans="1:40" x14ac:dyDescent="1.4">
      <c r="A23" s="8" t="s">
        <v>178</v>
      </c>
      <c r="B23" s="6" t="s">
        <v>180</v>
      </c>
      <c r="AC23"/>
      <c r="AD23"/>
    </row>
    <row r="24" spans="1:40" x14ac:dyDescent="1.4">
      <c r="A24" s="6" t="s">
        <v>124</v>
      </c>
      <c r="B24" s="9">
        <v>22940.54</v>
      </c>
      <c r="AC24"/>
      <c r="AD24"/>
    </row>
    <row r="25" spans="1:40" x14ac:dyDescent="1.4">
      <c r="A25" s="6" t="s">
        <v>69</v>
      </c>
      <c r="B25" s="9">
        <v>36636.47</v>
      </c>
      <c r="AC25"/>
      <c r="AD25"/>
    </row>
    <row r="26" spans="1:40" x14ac:dyDescent="1.4">
      <c r="A26" s="6" t="s">
        <v>141</v>
      </c>
      <c r="B26" s="9">
        <v>33972.69</v>
      </c>
      <c r="AC26"/>
      <c r="AD26"/>
    </row>
    <row r="27" spans="1:40" x14ac:dyDescent="1.4">
      <c r="A27" s="6" t="s">
        <v>65</v>
      </c>
      <c r="B27" s="9">
        <v>59442.68</v>
      </c>
      <c r="AC27"/>
      <c r="AD27"/>
    </row>
    <row r="28" spans="1:40" x14ac:dyDescent="1.4">
      <c r="A28" s="6" t="s">
        <v>49</v>
      </c>
      <c r="B28" s="9">
        <v>37901.560000000005</v>
      </c>
      <c r="AC28"/>
      <c r="AD28"/>
    </row>
    <row r="29" spans="1:40" x14ac:dyDescent="1.4">
      <c r="A29" s="6" t="s">
        <v>32</v>
      </c>
      <c r="B29" s="9">
        <v>69670.8</v>
      </c>
      <c r="AC29"/>
      <c r="AD29"/>
    </row>
    <row r="30" spans="1:40" x14ac:dyDescent="1.4">
      <c r="A30" s="6" t="s">
        <v>97</v>
      </c>
      <c r="B30" s="9">
        <v>34376.289999999994</v>
      </c>
      <c r="AC30"/>
      <c r="AD30"/>
    </row>
    <row r="31" spans="1:40" x14ac:dyDescent="1.4">
      <c r="A31" s="6" t="s">
        <v>137</v>
      </c>
      <c r="B31" s="9">
        <v>58367.409999999989</v>
      </c>
      <c r="AC31"/>
      <c r="AD31"/>
    </row>
    <row r="32" spans="1:40" x14ac:dyDescent="1.4">
      <c r="A32" s="6" t="s">
        <v>177</v>
      </c>
      <c r="B32" s="9">
        <v>41460.35</v>
      </c>
      <c r="AC32"/>
      <c r="AD32"/>
    </row>
    <row r="33" spans="1:30" x14ac:dyDescent="1.4">
      <c r="A33" s="6" t="s">
        <v>41</v>
      </c>
      <c r="B33" s="9">
        <v>39755.689999999995</v>
      </c>
      <c r="AC33"/>
      <c r="AD33"/>
    </row>
    <row r="34" spans="1:30" x14ac:dyDescent="1.4">
      <c r="A34" s="6" t="s">
        <v>179</v>
      </c>
      <c r="B34" s="9">
        <v>434524.47999999992</v>
      </c>
      <c r="AC34"/>
      <c r="AD34"/>
    </row>
    <row r="35" spans="1:30" x14ac:dyDescent="1.4">
      <c r="A35"/>
      <c r="B35"/>
      <c r="AC35"/>
      <c r="AD35"/>
    </row>
    <row r="36" spans="1:30" x14ac:dyDescent="1.4">
      <c r="A36"/>
      <c r="B36"/>
      <c r="AC36"/>
      <c r="AD36"/>
    </row>
    <row r="37" spans="1:30" x14ac:dyDescent="1.4">
      <c r="AC37"/>
      <c r="AD37"/>
    </row>
    <row r="38" spans="1:30" x14ac:dyDescent="1.4">
      <c r="AC38"/>
      <c r="AD38"/>
    </row>
    <row r="39" spans="1:30" x14ac:dyDescent="1.4">
      <c r="AC39"/>
      <c r="AD39"/>
    </row>
    <row r="40" spans="1:30" x14ac:dyDescent="1.4">
      <c r="AC40"/>
      <c r="AD40"/>
    </row>
    <row r="41" spans="1:30" x14ac:dyDescent="1.4">
      <c r="AC41"/>
      <c r="AD41"/>
    </row>
    <row r="42" spans="1:30" x14ac:dyDescent="1.4">
      <c r="AC42"/>
      <c r="AD42"/>
    </row>
    <row r="43" spans="1:30" x14ac:dyDescent="1.4">
      <c r="AC43"/>
      <c r="AD43"/>
    </row>
    <row r="44" spans="1:30" x14ac:dyDescent="1.4">
      <c r="A44" s="8" t="s">
        <v>178</v>
      </c>
      <c r="B44" s="6" t="s">
        <v>181</v>
      </c>
      <c r="C44" s="6" t="s">
        <v>200</v>
      </c>
      <c r="D44" s="6" t="s">
        <v>180</v>
      </c>
      <c r="AC44"/>
      <c r="AD44"/>
    </row>
    <row r="45" spans="1:30" x14ac:dyDescent="1.4">
      <c r="A45" s="6" t="s">
        <v>167</v>
      </c>
      <c r="B45" s="11">
        <v>29</v>
      </c>
      <c r="C45" s="11">
        <v>642</v>
      </c>
      <c r="D45" s="9">
        <v>137745.85</v>
      </c>
      <c r="AC45"/>
      <c r="AD45"/>
    </row>
    <row r="46" spans="1:30" x14ac:dyDescent="1.4">
      <c r="A46" s="6" t="s">
        <v>171</v>
      </c>
      <c r="B46" s="11">
        <v>15</v>
      </c>
      <c r="C46" s="11">
        <v>283</v>
      </c>
      <c r="D46" s="9">
        <v>73292.75999999998</v>
      </c>
      <c r="AC46"/>
      <c r="AD46"/>
    </row>
    <row r="47" spans="1:30" x14ac:dyDescent="1.4">
      <c r="A47" s="6" t="s">
        <v>169</v>
      </c>
      <c r="B47" s="11">
        <v>40</v>
      </c>
      <c r="C47" s="11">
        <v>725</v>
      </c>
      <c r="D47" s="9">
        <v>165860.60999999999</v>
      </c>
      <c r="AC47"/>
      <c r="AD47"/>
    </row>
    <row r="48" spans="1:30" x14ac:dyDescent="1.4">
      <c r="A48" s="6" t="s">
        <v>174</v>
      </c>
      <c r="B48" s="11">
        <v>16</v>
      </c>
      <c r="C48" s="11">
        <v>321</v>
      </c>
      <c r="D48" s="9">
        <v>88309.760000000009</v>
      </c>
      <c r="AC48"/>
      <c r="AD48"/>
    </row>
    <row r="49" spans="1:30" x14ac:dyDescent="1.4">
      <c r="A49" s="6" t="s">
        <v>179</v>
      </c>
      <c r="B49" s="11">
        <v>100</v>
      </c>
      <c r="C49" s="11">
        <v>1971</v>
      </c>
      <c r="D49" s="9">
        <v>465208.97999999986</v>
      </c>
      <c r="AC49"/>
      <c r="AD49"/>
    </row>
    <row r="50" spans="1:30" x14ac:dyDescent="1.4">
      <c r="A50"/>
      <c r="B50"/>
      <c r="AC50"/>
      <c r="AD50"/>
    </row>
    <row r="51" spans="1:30" x14ac:dyDescent="1.4">
      <c r="A51"/>
      <c r="B51"/>
      <c r="AC51"/>
      <c r="AD51"/>
    </row>
    <row r="52" spans="1:30" x14ac:dyDescent="1.4">
      <c r="A52"/>
      <c r="B52"/>
      <c r="AC52"/>
      <c r="AD52"/>
    </row>
    <row r="53" spans="1:30" x14ac:dyDescent="1.4">
      <c r="A53"/>
      <c r="B53"/>
      <c r="AC53"/>
      <c r="AD53"/>
    </row>
    <row r="54" spans="1:30" x14ac:dyDescent="1.4">
      <c r="AC54"/>
      <c r="AD54"/>
    </row>
    <row r="55" spans="1:30" x14ac:dyDescent="1.4">
      <c r="AC55"/>
      <c r="AD55"/>
    </row>
    <row r="56" spans="1:30" x14ac:dyDescent="1.4">
      <c r="AC56"/>
      <c r="AD56"/>
    </row>
    <row r="57" spans="1:30" x14ac:dyDescent="1.4">
      <c r="AC57"/>
      <c r="AD57"/>
    </row>
    <row r="58" spans="1:30" x14ac:dyDescent="1.4">
      <c r="AC58"/>
      <c r="AD58"/>
    </row>
    <row r="59" spans="1:30" x14ac:dyDescent="1.4">
      <c r="AC59"/>
      <c r="AD59"/>
    </row>
    <row r="60" spans="1:30" x14ac:dyDescent="1.4">
      <c r="AC60"/>
      <c r="AD60"/>
    </row>
    <row r="61" spans="1:30" x14ac:dyDescent="1.4">
      <c r="AC61"/>
      <c r="AD61"/>
    </row>
    <row r="62" spans="1:30" x14ac:dyDescent="1.4">
      <c r="AC62"/>
      <c r="AD62"/>
    </row>
    <row r="63" spans="1:30" x14ac:dyDescent="1.4">
      <c r="AC63"/>
      <c r="AD63"/>
    </row>
    <row r="64" spans="1:30" x14ac:dyDescent="1.4">
      <c r="AC64"/>
      <c r="AD64"/>
    </row>
    <row r="65" spans="29:30" x14ac:dyDescent="1.4">
      <c r="AC65"/>
      <c r="AD65"/>
    </row>
    <row r="66" spans="29:30" x14ac:dyDescent="1.4">
      <c r="AC66"/>
      <c r="AD66"/>
    </row>
    <row r="67" spans="29:30" x14ac:dyDescent="1.4">
      <c r="AC67"/>
      <c r="AD67"/>
    </row>
    <row r="68" spans="29:30" x14ac:dyDescent="1.4">
      <c r="AC68"/>
      <c r="AD68"/>
    </row>
    <row r="69" spans="29:30" x14ac:dyDescent="1.4">
      <c r="AC69"/>
      <c r="AD69"/>
    </row>
    <row r="70" spans="29:30" x14ac:dyDescent="1.4">
      <c r="AC70"/>
      <c r="AD70"/>
    </row>
    <row r="71" spans="29:30" x14ac:dyDescent="1.4">
      <c r="AC71"/>
      <c r="AD71"/>
    </row>
    <row r="72" spans="29:30" x14ac:dyDescent="1.4">
      <c r="AC72"/>
      <c r="AD72"/>
    </row>
    <row r="73" spans="29:30" x14ac:dyDescent="1.4">
      <c r="AC73"/>
      <c r="AD73"/>
    </row>
    <row r="74" spans="29:30" x14ac:dyDescent="1.4">
      <c r="AC74"/>
      <c r="AD74"/>
    </row>
    <row r="75" spans="29:30" x14ac:dyDescent="1.4">
      <c r="AC75"/>
      <c r="AD75"/>
    </row>
    <row r="76" spans="29:30" x14ac:dyDescent="1.4">
      <c r="AC76"/>
      <c r="AD76"/>
    </row>
    <row r="77" spans="29:30" x14ac:dyDescent="1.4">
      <c r="AC77"/>
      <c r="AD77"/>
    </row>
    <row r="78" spans="29:30" x14ac:dyDescent="1.4">
      <c r="AC78"/>
      <c r="AD78"/>
    </row>
    <row r="79" spans="29:30" x14ac:dyDescent="1.4">
      <c r="AC79"/>
      <c r="AD79"/>
    </row>
    <row r="80" spans="29:30" x14ac:dyDescent="1.4">
      <c r="AC80"/>
      <c r="AD80"/>
    </row>
    <row r="81" spans="29:30" x14ac:dyDescent="1.4">
      <c r="AC81"/>
      <c r="AD81"/>
    </row>
    <row r="82" spans="29:30" x14ac:dyDescent="1.4">
      <c r="AC82"/>
      <c r="AD82"/>
    </row>
    <row r="83" spans="29:30" x14ac:dyDescent="1.4">
      <c r="AC83"/>
      <c r="AD83"/>
    </row>
    <row r="84" spans="29:30" x14ac:dyDescent="1.4">
      <c r="AC84"/>
      <c r="AD84"/>
    </row>
    <row r="85" spans="29:30" x14ac:dyDescent="1.4">
      <c r="AC85"/>
      <c r="AD85"/>
    </row>
    <row r="86" spans="29:30" x14ac:dyDescent="1.4">
      <c r="AC86"/>
      <c r="AD86"/>
    </row>
    <row r="87" spans="29:30" x14ac:dyDescent="1.4">
      <c r="AC87"/>
      <c r="AD87"/>
    </row>
    <row r="88" spans="29:30" x14ac:dyDescent="1.4">
      <c r="AC88"/>
      <c r="AD88"/>
    </row>
    <row r="89" spans="29:30" x14ac:dyDescent="1.4">
      <c r="AC89"/>
      <c r="AD89"/>
    </row>
    <row r="90" spans="29:30" x14ac:dyDescent="1.4">
      <c r="AC90"/>
      <c r="AD90"/>
    </row>
    <row r="91" spans="29:30" x14ac:dyDescent="1.4">
      <c r="AC91"/>
      <c r="AD91"/>
    </row>
    <row r="92" spans="29:30" x14ac:dyDescent="1.4">
      <c r="AC92"/>
      <c r="AD92"/>
    </row>
    <row r="93" spans="29:30" x14ac:dyDescent="1.4">
      <c r="AC93"/>
      <c r="AD93"/>
    </row>
    <row r="94" spans="29:30" x14ac:dyDescent="1.4">
      <c r="AC94"/>
      <c r="AD94"/>
    </row>
    <row r="95" spans="29:30" x14ac:dyDescent="1.4">
      <c r="AC95"/>
      <c r="AD95"/>
    </row>
    <row r="96" spans="29:30" x14ac:dyDescent="1.4">
      <c r="AC96"/>
      <c r="AD96"/>
    </row>
    <row r="97" spans="29:30" x14ac:dyDescent="1.4">
      <c r="AC97"/>
      <c r="AD97"/>
    </row>
    <row r="98" spans="29:30" x14ac:dyDescent="1.4">
      <c r="AC98"/>
      <c r="AD98"/>
    </row>
    <row r="99" spans="29:30" x14ac:dyDescent="1.4">
      <c r="AC99"/>
      <c r="AD99"/>
    </row>
  </sheetData>
  <pageMargins left="0.7" right="0.7" top="0.75" bottom="0.75" header="0.3" footer="0.3"/>
  <drawing r:id="rId1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466691-FF28-4327-A2BB-4FAFAFE76C69}">
  <dimension ref="A1"/>
  <sheetViews>
    <sheetView tabSelected="1" zoomScale="72" workbookViewId="0">
      <selection activeCell="I52" sqref="I52"/>
    </sheetView>
  </sheetViews>
  <sheetFormatPr defaultRowHeight="14.4" x14ac:dyDescent="0.55000000000000004"/>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138B86-FD33-47BA-AFA9-53AC7CBD76E0}">
  <dimension ref="A1:L101"/>
  <sheetViews>
    <sheetView workbookViewId="0">
      <selection activeCell="F6" sqref="F6"/>
    </sheetView>
  </sheetViews>
  <sheetFormatPr defaultRowHeight="14.4" x14ac:dyDescent="0.55000000000000004"/>
  <cols>
    <col min="1" max="1" width="16.5234375" bestFit="1" customWidth="1"/>
    <col min="2" max="2" width="12.20703125" bestFit="1" customWidth="1"/>
    <col min="3" max="3" width="21.62890625" bestFit="1" customWidth="1"/>
    <col min="4" max="4" width="14.41796875" bestFit="1" customWidth="1"/>
    <col min="5" max="5" width="17.7890625" bestFit="1" customWidth="1"/>
    <col min="6" max="6" width="16.734375" style="5" bestFit="1" customWidth="1"/>
    <col min="7" max="7" width="10.15625" bestFit="1" customWidth="1"/>
    <col min="8" max="8" width="12" bestFit="1" customWidth="1"/>
    <col min="9" max="9" width="13.41796875" bestFit="1" customWidth="1"/>
    <col min="10" max="10" width="14.15625" style="15" bestFit="1" customWidth="1"/>
    <col min="11" max="11" width="15.41796875" style="17" bestFit="1" customWidth="1"/>
    <col min="12" max="12" width="16.15625" style="10" bestFit="1" customWidth="1"/>
  </cols>
  <sheetData>
    <row r="1" spans="1:12" s="13" customFormat="1" ht="28.5" x14ac:dyDescent="1.4">
      <c r="A1" s="6" t="s">
        <v>2</v>
      </c>
      <c r="B1" s="6" t="s">
        <v>3</v>
      </c>
      <c r="C1" s="6" t="s">
        <v>4</v>
      </c>
      <c r="D1" s="6" t="s">
        <v>164</v>
      </c>
      <c r="E1" s="6" t="s">
        <v>165</v>
      </c>
      <c r="F1" s="7" t="s">
        <v>6</v>
      </c>
      <c r="G1" s="6" t="s">
        <v>185</v>
      </c>
      <c r="H1" s="6" t="s">
        <v>186</v>
      </c>
      <c r="I1" s="6" t="s">
        <v>187</v>
      </c>
      <c r="J1" s="14" t="s">
        <v>7</v>
      </c>
      <c r="K1" s="16" t="s">
        <v>8</v>
      </c>
      <c r="L1" s="9" t="s">
        <v>166</v>
      </c>
    </row>
    <row r="2" spans="1:12" ht="28.5" x14ac:dyDescent="1.4">
      <c r="A2" s="6" t="s">
        <v>9</v>
      </c>
      <c r="B2" s="6" t="s">
        <v>27</v>
      </c>
      <c r="C2" s="6" t="s">
        <v>97</v>
      </c>
      <c r="D2" s="6" t="s">
        <v>167</v>
      </c>
      <c r="E2" s="6" t="s">
        <v>168</v>
      </c>
      <c r="F2" s="7">
        <v>45445</v>
      </c>
      <c r="G2" s="6">
        <f>YEAR(Orders[[#This Row],[Order Date]])</f>
        <v>2024</v>
      </c>
      <c r="H2" s="6" t="str">
        <f>TEXT(Orders[[#This Row],[Order Date]],"mmmm")</f>
        <v>June</v>
      </c>
      <c r="I2" s="6" t="str">
        <f>"Q"&amp;ROUNDUP(MONTH(Orders[[#This Row],[Order Date]])/3,0)</f>
        <v>Q2</v>
      </c>
      <c r="J2" s="14">
        <v>38</v>
      </c>
      <c r="K2" s="16">
        <v>33.71</v>
      </c>
      <c r="L2" s="9">
        <v>1280.98</v>
      </c>
    </row>
    <row r="3" spans="1:12" ht="28.5" x14ac:dyDescent="1.4">
      <c r="A3" s="6" t="s">
        <v>9</v>
      </c>
      <c r="B3" s="6" t="s">
        <v>75</v>
      </c>
      <c r="C3" s="6" t="s">
        <v>65</v>
      </c>
      <c r="D3" s="6" t="s">
        <v>169</v>
      </c>
      <c r="E3" s="6" t="s">
        <v>170</v>
      </c>
      <c r="F3" s="7">
        <v>45550</v>
      </c>
      <c r="G3" s="6">
        <f>YEAR(Orders[[#This Row],[Order Date]])</f>
        <v>2024</v>
      </c>
      <c r="H3" s="6" t="str">
        <f>TEXT(Orders[[#This Row],[Order Date]],"mmmm")</f>
        <v>September</v>
      </c>
      <c r="I3" s="6" t="str">
        <f>"Q"&amp;ROUNDUP(MONTH(Orders[[#This Row],[Order Date]])/3,0)</f>
        <v>Q3</v>
      </c>
      <c r="J3" s="14">
        <v>28</v>
      </c>
      <c r="K3" s="16">
        <v>34.26</v>
      </c>
      <c r="L3" s="9">
        <v>959.28</v>
      </c>
    </row>
    <row r="4" spans="1:12" ht="28.5" x14ac:dyDescent="1.4">
      <c r="A4" s="6" t="s">
        <v>9</v>
      </c>
      <c r="B4" s="6" t="s">
        <v>77</v>
      </c>
      <c r="C4" s="6" t="s">
        <v>120</v>
      </c>
      <c r="D4" s="6" t="s">
        <v>171</v>
      </c>
      <c r="E4" s="6" t="s">
        <v>172</v>
      </c>
      <c r="F4" s="7">
        <v>45396</v>
      </c>
      <c r="G4" s="6">
        <f>YEAR(Orders[[#This Row],[Order Date]])</f>
        <v>2024</v>
      </c>
      <c r="H4" s="6" t="str">
        <f>TEXT(Orders[[#This Row],[Order Date]],"mmmm")</f>
        <v>April</v>
      </c>
      <c r="I4" s="6" t="str">
        <f>"Q"&amp;ROUNDUP(MONTH(Orders[[#This Row],[Order Date]])/3,0)</f>
        <v>Q2</v>
      </c>
      <c r="J4" s="14">
        <v>3</v>
      </c>
      <c r="K4" s="16">
        <v>280.55</v>
      </c>
      <c r="L4" s="9">
        <v>841.65</v>
      </c>
    </row>
    <row r="5" spans="1:12" ht="28.5" x14ac:dyDescent="1.4">
      <c r="A5" s="6" t="s">
        <v>9</v>
      </c>
      <c r="B5" s="6" t="s">
        <v>48</v>
      </c>
      <c r="C5" s="6" t="s">
        <v>97</v>
      </c>
      <c r="D5" s="6" t="s">
        <v>171</v>
      </c>
      <c r="E5" s="6" t="s">
        <v>172</v>
      </c>
      <c r="F5" s="7">
        <v>45557</v>
      </c>
      <c r="G5" s="6">
        <f>YEAR(Orders[[#This Row],[Order Date]])</f>
        <v>2024</v>
      </c>
      <c r="H5" s="6" t="str">
        <f>TEXT(Orders[[#This Row],[Order Date]],"mmmm")</f>
        <v>September</v>
      </c>
      <c r="I5" s="6" t="str">
        <f>"Q"&amp;ROUNDUP(MONTH(Orders[[#This Row],[Order Date]])/3,0)</f>
        <v>Q3</v>
      </c>
      <c r="J5" s="14">
        <v>12</v>
      </c>
      <c r="K5" s="16">
        <v>56.01</v>
      </c>
      <c r="L5" s="9">
        <v>672.12</v>
      </c>
    </row>
    <row r="6" spans="1:12" ht="28.5" x14ac:dyDescent="1.4">
      <c r="A6" s="6" t="s">
        <v>9</v>
      </c>
      <c r="B6" s="6" t="s">
        <v>75</v>
      </c>
      <c r="C6" s="6" t="s">
        <v>65</v>
      </c>
      <c r="D6" s="6" t="s">
        <v>171</v>
      </c>
      <c r="E6" s="6" t="s">
        <v>172</v>
      </c>
      <c r="F6" s="7">
        <v>45523</v>
      </c>
      <c r="G6" s="6">
        <f>YEAR(Orders[[#This Row],[Order Date]])</f>
        <v>2024</v>
      </c>
      <c r="H6" s="6" t="str">
        <f>TEXT(Orders[[#This Row],[Order Date]],"mmmm")</f>
        <v>August</v>
      </c>
      <c r="I6" s="6" t="str">
        <f>"Q"&amp;ROUNDUP(MONTH(Orders[[#This Row],[Order Date]])/3,0)</f>
        <v>Q3</v>
      </c>
      <c r="J6" s="14">
        <v>35</v>
      </c>
      <c r="K6" s="16">
        <v>216.66</v>
      </c>
      <c r="L6" s="9">
        <v>7583.1</v>
      </c>
    </row>
    <row r="7" spans="1:12" ht="28.5" x14ac:dyDescent="1.4">
      <c r="A7" s="6" t="s">
        <v>9</v>
      </c>
      <c r="B7" s="6" t="s">
        <v>27</v>
      </c>
      <c r="C7" s="6" t="s">
        <v>124</v>
      </c>
      <c r="D7" s="6" t="s">
        <v>169</v>
      </c>
      <c r="E7" s="6" t="s">
        <v>173</v>
      </c>
      <c r="F7" s="7">
        <v>45644</v>
      </c>
      <c r="G7" s="6">
        <f>YEAR(Orders[[#This Row],[Order Date]])</f>
        <v>2024</v>
      </c>
      <c r="H7" s="6" t="str">
        <f>TEXT(Orders[[#This Row],[Order Date]],"mmmm")</f>
        <v>December</v>
      </c>
      <c r="I7" s="6" t="str">
        <f>"Q"&amp;ROUNDUP(MONTH(Orders[[#This Row],[Order Date]])/3,0)</f>
        <v>Q4</v>
      </c>
      <c r="J7" s="14">
        <v>16</v>
      </c>
      <c r="K7" s="16">
        <v>45.52</v>
      </c>
      <c r="L7" s="9">
        <v>728.32</v>
      </c>
    </row>
    <row r="8" spans="1:12" ht="28.5" x14ac:dyDescent="1.4">
      <c r="A8" s="6" t="s">
        <v>9</v>
      </c>
      <c r="B8" s="6" t="s">
        <v>31</v>
      </c>
      <c r="C8" s="6" t="s">
        <v>32</v>
      </c>
      <c r="D8" s="6" t="s">
        <v>174</v>
      </c>
      <c r="E8" s="6" t="s">
        <v>175</v>
      </c>
      <c r="F8" s="7">
        <v>45337</v>
      </c>
      <c r="G8" s="6">
        <f>YEAR(Orders[[#This Row],[Order Date]])</f>
        <v>2024</v>
      </c>
      <c r="H8" s="6" t="str">
        <f>TEXT(Orders[[#This Row],[Order Date]],"mmmm")</f>
        <v>February</v>
      </c>
      <c r="I8" s="6" t="str">
        <f>"Q"&amp;ROUNDUP(MONTH(Orders[[#This Row],[Order Date]])/3,0)</f>
        <v>Q1</v>
      </c>
      <c r="J8" s="14">
        <v>33</v>
      </c>
      <c r="K8" s="16">
        <v>211.97</v>
      </c>
      <c r="L8" s="9">
        <v>6995.01</v>
      </c>
    </row>
    <row r="9" spans="1:12" ht="28.5" x14ac:dyDescent="1.4">
      <c r="A9" s="6" t="s">
        <v>9</v>
      </c>
      <c r="B9" s="6" t="s">
        <v>27</v>
      </c>
      <c r="C9" s="6" t="s">
        <v>32</v>
      </c>
      <c r="D9" s="6" t="s">
        <v>167</v>
      </c>
      <c r="E9" s="6" t="s">
        <v>168</v>
      </c>
      <c r="F9" s="7">
        <v>45537</v>
      </c>
      <c r="G9" s="6">
        <f>YEAR(Orders[[#This Row],[Order Date]])</f>
        <v>2024</v>
      </c>
      <c r="H9" s="6" t="str">
        <f>TEXT(Orders[[#This Row],[Order Date]],"mmmm")</f>
        <v>September</v>
      </c>
      <c r="I9" s="6" t="str">
        <f>"Q"&amp;ROUNDUP(MONTH(Orders[[#This Row],[Order Date]])/3,0)</f>
        <v>Q3</v>
      </c>
      <c r="J9" s="14">
        <v>37</v>
      </c>
      <c r="K9" s="16">
        <v>395.6</v>
      </c>
      <c r="L9" s="9">
        <v>14637.2</v>
      </c>
    </row>
    <row r="10" spans="1:12" ht="28.5" x14ac:dyDescent="1.4">
      <c r="A10" s="6" t="s">
        <v>9</v>
      </c>
      <c r="B10" s="6" t="s">
        <v>27</v>
      </c>
      <c r="C10" s="6" t="s">
        <v>38</v>
      </c>
      <c r="D10" s="6" t="s">
        <v>171</v>
      </c>
      <c r="E10" s="6" t="s">
        <v>172</v>
      </c>
      <c r="F10" s="7">
        <v>45349</v>
      </c>
      <c r="G10" s="6">
        <f>YEAR(Orders[[#This Row],[Order Date]])</f>
        <v>2024</v>
      </c>
      <c r="H10" s="6" t="str">
        <f>TEXT(Orders[[#This Row],[Order Date]],"mmmm")</f>
        <v>February</v>
      </c>
      <c r="I10" s="6" t="str">
        <f>"Q"&amp;ROUNDUP(MONTH(Orders[[#This Row],[Order Date]])/3,0)</f>
        <v>Q1</v>
      </c>
      <c r="J10" s="14">
        <v>6</v>
      </c>
      <c r="K10" s="16">
        <v>472.62</v>
      </c>
      <c r="L10" s="9">
        <v>2835.72</v>
      </c>
    </row>
    <row r="11" spans="1:12" ht="28.5" x14ac:dyDescent="1.4">
      <c r="A11" s="6" t="s">
        <v>9</v>
      </c>
      <c r="B11" s="6" t="s">
        <v>91</v>
      </c>
      <c r="C11" s="6" t="s">
        <v>41</v>
      </c>
      <c r="D11" s="6" t="s">
        <v>174</v>
      </c>
      <c r="E11" s="6" t="s">
        <v>175</v>
      </c>
      <c r="F11" s="7">
        <v>45439</v>
      </c>
      <c r="G11" s="6">
        <f>YEAR(Orders[[#This Row],[Order Date]])</f>
        <v>2024</v>
      </c>
      <c r="H11" s="6" t="str">
        <f>TEXT(Orders[[#This Row],[Order Date]],"mmmm")</f>
        <v>May</v>
      </c>
      <c r="I11" s="6" t="str">
        <f>"Q"&amp;ROUNDUP(MONTH(Orders[[#This Row],[Order Date]])/3,0)</f>
        <v>Q2</v>
      </c>
      <c r="J11" s="14">
        <v>25</v>
      </c>
      <c r="K11" s="16">
        <v>444.08</v>
      </c>
      <c r="L11" s="9">
        <v>11102</v>
      </c>
    </row>
    <row r="12" spans="1:12" ht="28.5" x14ac:dyDescent="1.4">
      <c r="A12" s="6" t="s">
        <v>9</v>
      </c>
      <c r="B12" s="6" t="s">
        <v>27</v>
      </c>
      <c r="C12" s="6" t="s">
        <v>32</v>
      </c>
      <c r="D12" s="6" t="s">
        <v>167</v>
      </c>
      <c r="E12" s="6" t="s">
        <v>176</v>
      </c>
      <c r="F12" s="7">
        <v>45299</v>
      </c>
      <c r="G12" s="6">
        <f>YEAR(Orders[[#This Row],[Order Date]])</f>
        <v>2024</v>
      </c>
      <c r="H12" s="6" t="str">
        <f>TEXT(Orders[[#This Row],[Order Date]],"mmmm")</f>
        <v>January</v>
      </c>
      <c r="I12" s="6" t="str">
        <f>"Q"&amp;ROUNDUP(MONTH(Orders[[#This Row],[Order Date]])/3,0)</f>
        <v>Q1</v>
      </c>
      <c r="J12" s="14">
        <v>14</v>
      </c>
      <c r="K12" s="16">
        <v>385.28</v>
      </c>
      <c r="L12" s="9">
        <v>5393.92</v>
      </c>
    </row>
    <row r="13" spans="1:12" ht="28.5" x14ac:dyDescent="1.4">
      <c r="A13" s="6" t="s">
        <v>9</v>
      </c>
      <c r="B13" s="6" t="s">
        <v>48</v>
      </c>
      <c r="C13" s="6" t="s">
        <v>97</v>
      </c>
      <c r="D13" s="6" t="s">
        <v>169</v>
      </c>
      <c r="E13" s="6" t="s">
        <v>170</v>
      </c>
      <c r="F13" s="7">
        <v>45500</v>
      </c>
      <c r="G13" s="6">
        <f>YEAR(Orders[[#This Row],[Order Date]])</f>
        <v>2024</v>
      </c>
      <c r="H13" s="6" t="str">
        <f>TEXT(Orders[[#This Row],[Order Date]],"mmmm")</f>
        <v>July</v>
      </c>
      <c r="I13" s="6" t="str">
        <f>"Q"&amp;ROUNDUP(MONTH(Orders[[#This Row],[Order Date]])/3,0)</f>
        <v>Q3</v>
      </c>
      <c r="J13" s="14">
        <v>36</v>
      </c>
      <c r="K13" s="16">
        <v>142.53</v>
      </c>
      <c r="L13" s="9">
        <v>5131.08</v>
      </c>
    </row>
    <row r="14" spans="1:12" ht="28.5" x14ac:dyDescent="1.4">
      <c r="A14" s="6" t="s">
        <v>9</v>
      </c>
      <c r="B14" s="6" t="s">
        <v>48</v>
      </c>
      <c r="C14" s="6" t="s">
        <v>49</v>
      </c>
      <c r="D14" s="6" t="s">
        <v>174</v>
      </c>
      <c r="E14" s="6" t="s">
        <v>175</v>
      </c>
      <c r="F14" s="7">
        <v>45620</v>
      </c>
      <c r="G14" s="6">
        <f>YEAR(Orders[[#This Row],[Order Date]])</f>
        <v>2024</v>
      </c>
      <c r="H14" s="6" t="str">
        <f>TEXT(Orders[[#This Row],[Order Date]],"mmmm")</f>
        <v>November</v>
      </c>
      <c r="I14" s="6" t="str">
        <f>"Q"&amp;ROUNDUP(MONTH(Orders[[#This Row],[Order Date]])/3,0)</f>
        <v>Q4</v>
      </c>
      <c r="J14" s="14">
        <v>25</v>
      </c>
      <c r="K14" s="16">
        <v>479.08</v>
      </c>
      <c r="L14" s="9">
        <v>11977</v>
      </c>
    </row>
    <row r="15" spans="1:12" ht="28.5" x14ac:dyDescent="1.4">
      <c r="A15" s="6" t="s">
        <v>9</v>
      </c>
      <c r="B15" s="6" t="s">
        <v>48</v>
      </c>
      <c r="C15" s="6" t="s">
        <v>137</v>
      </c>
      <c r="D15" s="6" t="s">
        <v>167</v>
      </c>
      <c r="E15" s="6" t="s">
        <v>176</v>
      </c>
      <c r="F15" s="7">
        <v>45505</v>
      </c>
      <c r="G15" s="6">
        <f>YEAR(Orders[[#This Row],[Order Date]])</f>
        <v>2024</v>
      </c>
      <c r="H15" s="6" t="str">
        <f>TEXT(Orders[[#This Row],[Order Date]],"mmmm")</f>
        <v>August</v>
      </c>
      <c r="I15" s="6" t="str">
        <f>"Q"&amp;ROUNDUP(MONTH(Orders[[#This Row],[Order Date]])/3,0)</f>
        <v>Q3</v>
      </c>
      <c r="J15" s="14">
        <v>38</v>
      </c>
      <c r="K15" s="16">
        <v>95.26</v>
      </c>
      <c r="L15" s="9">
        <v>3619.88</v>
      </c>
    </row>
    <row r="16" spans="1:12" ht="28.5" x14ac:dyDescent="1.4">
      <c r="A16" s="6" t="s">
        <v>9</v>
      </c>
      <c r="B16" s="6" t="s">
        <v>31</v>
      </c>
      <c r="C16" s="6" t="s">
        <v>137</v>
      </c>
      <c r="D16" s="6" t="s">
        <v>171</v>
      </c>
      <c r="E16" s="6" t="s">
        <v>172</v>
      </c>
      <c r="F16" s="7">
        <v>45374</v>
      </c>
      <c r="G16" s="6">
        <f>YEAR(Orders[[#This Row],[Order Date]])</f>
        <v>2024</v>
      </c>
      <c r="H16" s="6" t="str">
        <f>TEXT(Orders[[#This Row],[Order Date]],"mmmm")</f>
        <v>March</v>
      </c>
      <c r="I16" s="6" t="str">
        <f>"Q"&amp;ROUNDUP(MONTH(Orders[[#This Row],[Order Date]])/3,0)</f>
        <v>Q1</v>
      </c>
      <c r="J16" s="14">
        <v>33</v>
      </c>
      <c r="K16" s="16">
        <v>475.36</v>
      </c>
      <c r="L16" s="9">
        <v>15686.88</v>
      </c>
    </row>
    <row r="17" spans="1:12" ht="28.5" x14ac:dyDescent="1.4">
      <c r="A17" s="6" t="s">
        <v>9</v>
      </c>
      <c r="B17" s="6" t="s">
        <v>57</v>
      </c>
      <c r="C17" s="6" t="s">
        <v>120</v>
      </c>
      <c r="D17" s="6" t="s">
        <v>169</v>
      </c>
      <c r="E17" s="6" t="s">
        <v>170</v>
      </c>
      <c r="F17" s="7">
        <v>45520</v>
      </c>
      <c r="G17" s="6">
        <f>YEAR(Orders[[#This Row],[Order Date]])</f>
        <v>2024</v>
      </c>
      <c r="H17" s="6" t="str">
        <f>TEXT(Orders[[#This Row],[Order Date]],"mmmm")</f>
        <v>August</v>
      </c>
      <c r="I17" s="6" t="str">
        <f>"Q"&amp;ROUNDUP(MONTH(Orders[[#This Row],[Order Date]])/3,0)</f>
        <v>Q3</v>
      </c>
      <c r="J17" s="14">
        <v>26</v>
      </c>
      <c r="K17" s="16">
        <v>35.81</v>
      </c>
      <c r="L17" s="9">
        <v>931.06</v>
      </c>
    </row>
    <row r="18" spans="1:12" ht="28.5" x14ac:dyDescent="1.4">
      <c r="A18" s="6" t="s">
        <v>9</v>
      </c>
      <c r="B18" s="6" t="s">
        <v>77</v>
      </c>
      <c r="C18" s="6" t="s">
        <v>32</v>
      </c>
      <c r="D18" s="6" t="s">
        <v>167</v>
      </c>
      <c r="E18" s="6" t="s">
        <v>168</v>
      </c>
      <c r="F18" s="7">
        <v>45336</v>
      </c>
      <c r="G18" s="6">
        <f>YEAR(Orders[[#This Row],[Order Date]])</f>
        <v>2024</v>
      </c>
      <c r="H18" s="6" t="str">
        <f>TEXT(Orders[[#This Row],[Order Date]],"mmmm")</f>
        <v>February</v>
      </c>
      <c r="I18" s="6" t="str">
        <f>"Q"&amp;ROUNDUP(MONTH(Orders[[#This Row],[Order Date]])/3,0)</f>
        <v>Q1</v>
      </c>
      <c r="J18" s="14">
        <v>1</v>
      </c>
      <c r="K18" s="16">
        <v>285.56</v>
      </c>
      <c r="L18" s="9">
        <v>285.56</v>
      </c>
    </row>
    <row r="19" spans="1:12" ht="28.5" x14ac:dyDescent="1.4">
      <c r="A19" s="6" t="s">
        <v>9</v>
      </c>
      <c r="B19" s="6" t="s">
        <v>77</v>
      </c>
      <c r="C19" s="6" t="s">
        <v>124</v>
      </c>
      <c r="D19" s="6" t="s">
        <v>167</v>
      </c>
      <c r="E19" s="6" t="s">
        <v>168</v>
      </c>
      <c r="F19" s="7">
        <v>45483</v>
      </c>
      <c r="G19" s="6">
        <f>YEAR(Orders[[#This Row],[Order Date]])</f>
        <v>2024</v>
      </c>
      <c r="H19" s="6" t="str">
        <f>TEXT(Orders[[#This Row],[Order Date]],"mmmm")</f>
        <v>July</v>
      </c>
      <c r="I19" s="6" t="str">
        <f>"Q"&amp;ROUNDUP(MONTH(Orders[[#This Row],[Order Date]])/3,0)</f>
        <v>Q3</v>
      </c>
      <c r="J19" s="14">
        <v>10</v>
      </c>
      <c r="K19" s="16">
        <v>319.02999999999997</v>
      </c>
      <c r="L19" s="9">
        <v>3190.3</v>
      </c>
    </row>
    <row r="20" spans="1:12" ht="28.5" x14ac:dyDescent="1.4">
      <c r="A20" s="6" t="s">
        <v>9</v>
      </c>
      <c r="B20" s="6" t="s">
        <v>27</v>
      </c>
      <c r="C20" s="6" t="s">
        <v>177</v>
      </c>
      <c r="D20" s="6" t="s">
        <v>167</v>
      </c>
      <c r="E20" s="6" t="s">
        <v>168</v>
      </c>
      <c r="F20" s="7">
        <v>45532</v>
      </c>
      <c r="G20" s="6">
        <f>YEAR(Orders[[#This Row],[Order Date]])</f>
        <v>2024</v>
      </c>
      <c r="H20" s="6" t="str">
        <f>TEXT(Orders[[#This Row],[Order Date]],"mmmm")</f>
        <v>August</v>
      </c>
      <c r="I20" s="6" t="str">
        <f>"Q"&amp;ROUNDUP(MONTH(Orders[[#This Row],[Order Date]])/3,0)</f>
        <v>Q3</v>
      </c>
      <c r="J20" s="14">
        <v>31</v>
      </c>
      <c r="K20" s="16">
        <v>244.5</v>
      </c>
      <c r="L20" s="9">
        <v>7579.5</v>
      </c>
    </row>
    <row r="21" spans="1:12" ht="28.5" x14ac:dyDescent="1.4">
      <c r="A21" s="6" t="s">
        <v>9</v>
      </c>
      <c r="B21" s="6" t="s">
        <v>77</v>
      </c>
      <c r="C21" s="6" t="s">
        <v>65</v>
      </c>
      <c r="D21" s="6" t="s">
        <v>174</v>
      </c>
      <c r="E21" s="6" t="s">
        <v>175</v>
      </c>
      <c r="F21" s="7">
        <v>45553</v>
      </c>
      <c r="G21" s="6">
        <f>YEAR(Orders[[#This Row],[Order Date]])</f>
        <v>2024</v>
      </c>
      <c r="H21" s="6" t="str">
        <f>TEXT(Orders[[#This Row],[Order Date]],"mmmm")</f>
        <v>September</v>
      </c>
      <c r="I21" s="6" t="str">
        <f>"Q"&amp;ROUNDUP(MONTH(Orders[[#This Row],[Order Date]])/3,0)</f>
        <v>Q3</v>
      </c>
      <c r="J21" s="14">
        <v>2</v>
      </c>
      <c r="K21" s="16">
        <v>106.58</v>
      </c>
      <c r="L21" s="9">
        <v>213.16</v>
      </c>
    </row>
    <row r="22" spans="1:12" ht="28.5" x14ac:dyDescent="1.4">
      <c r="A22" s="6" t="s">
        <v>9</v>
      </c>
      <c r="B22" s="6" t="s">
        <v>27</v>
      </c>
      <c r="C22" s="6" t="s">
        <v>38</v>
      </c>
      <c r="D22" s="6" t="s">
        <v>171</v>
      </c>
      <c r="E22" s="6" t="s">
        <v>172</v>
      </c>
      <c r="F22" s="7">
        <v>45641</v>
      </c>
      <c r="G22" s="6">
        <f>YEAR(Orders[[#This Row],[Order Date]])</f>
        <v>2024</v>
      </c>
      <c r="H22" s="6" t="str">
        <f>TEXT(Orders[[#This Row],[Order Date]],"mmmm")</f>
        <v>December</v>
      </c>
      <c r="I22" s="6" t="str">
        <f>"Q"&amp;ROUNDUP(MONTH(Orders[[#This Row],[Order Date]])/3,0)</f>
        <v>Q4</v>
      </c>
      <c r="J22" s="14">
        <v>17</v>
      </c>
      <c r="K22" s="16">
        <v>261.61</v>
      </c>
      <c r="L22" s="9">
        <v>4447.37</v>
      </c>
    </row>
    <row r="23" spans="1:12" ht="28.5" x14ac:dyDescent="1.4">
      <c r="A23" s="6" t="s">
        <v>9</v>
      </c>
      <c r="B23" s="6" t="s">
        <v>48</v>
      </c>
      <c r="C23" s="6" t="s">
        <v>69</v>
      </c>
      <c r="D23" s="6" t="s">
        <v>174</v>
      </c>
      <c r="E23" s="6" t="s">
        <v>175</v>
      </c>
      <c r="F23" s="7">
        <v>45401</v>
      </c>
      <c r="G23" s="6">
        <f>YEAR(Orders[[#This Row],[Order Date]])</f>
        <v>2024</v>
      </c>
      <c r="H23" s="6" t="str">
        <f>TEXT(Orders[[#This Row],[Order Date]],"mmmm")</f>
        <v>April</v>
      </c>
      <c r="I23" s="6" t="str">
        <f>"Q"&amp;ROUNDUP(MONTH(Orders[[#This Row],[Order Date]])/3,0)</f>
        <v>Q2</v>
      </c>
      <c r="J23" s="14">
        <v>26</v>
      </c>
      <c r="K23" s="16">
        <v>371.24</v>
      </c>
      <c r="L23" s="9">
        <v>9652.24</v>
      </c>
    </row>
    <row r="24" spans="1:12" ht="28.5" x14ac:dyDescent="1.4">
      <c r="A24" s="6" t="s">
        <v>9</v>
      </c>
      <c r="B24" s="6" t="s">
        <v>75</v>
      </c>
      <c r="C24" s="6" t="s">
        <v>49</v>
      </c>
      <c r="D24" s="6" t="s">
        <v>169</v>
      </c>
      <c r="E24" s="6" t="s">
        <v>173</v>
      </c>
      <c r="F24" s="7">
        <v>45413</v>
      </c>
      <c r="G24" s="6">
        <f>YEAR(Orders[[#This Row],[Order Date]])</f>
        <v>2024</v>
      </c>
      <c r="H24" s="6" t="str">
        <f>TEXT(Orders[[#This Row],[Order Date]],"mmmm")</f>
        <v>May</v>
      </c>
      <c r="I24" s="6" t="str">
        <f>"Q"&amp;ROUNDUP(MONTH(Orders[[#This Row],[Order Date]])/3,0)</f>
        <v>Q2</v>
      </c>
      <c r="J24" s="14">
        <v>31</v>
      </c>
      <c r="K24" s="16">
        <v>133.29</v>
      </c>
      <c r="L24" s="9">
        <v>4131.99</v>
      </c>
    </row>
    <row r="25" spans="1:12" ht="28.5" x14ac:dyDescent="1.4">
      <c r="A25" s="6" t="s">
        <v>9</v>
      </c>
      <c r="B25" s="6" t="s">
        <v>27</v>
      </c>
      <c r="C25" s="6" t="s">
        <v>38</v>
      </c>
      <c r="D25" s="6" t="s">
        <v>169</v>
      </c>
      <c r="E25" s="6" t="s">
        <v>173</v>
      </c>
      <c r="F25" s="7">
        <v>45398</v>
      </c>
      <c r="G25" s="6">
        <f>YEAR(Orders[[#This Row],[Order Date]])</f>
        <v>2024</v>
      </c>
      <c r="H25" s="6" t="str">
        <f>TEXT(Orders[[#This Row],[Order Date]],"mmmm")</f>
        <v>April</v>
      </c>
      <c r="I25" s="6" t="str">
        <f>"Q"&amp;ROUNDUP(MONTH(Orders[[#This Row],[Order Date]])/3,0)</f>
        <v>Q2</v>
      </c>
      <c r="J25" s="14">
        <v>31</v>
      </c>
      <c r="K25" s="16">
        <v>102.37</v>
      </c>
      <c r="L25" s="9">
        <v>3173.47</v>
      </c>
    </row>
    <row r="26" spans="1:12" ht="28.5" x14ac:dyDescent="1.4">
      <c r="A26" s="6" t="s">
        <v>9</v>
      </c>
      <c r="B26" s="6" t="s">
        <v>75</v>
      </c>
      <c r="C26" s="6" t="s">
        <v>124</v>
      </c>
      <c r="D26" s="6" t="s">
        <v>169</v>
      </c>
      <c r="E26" s="6" t="s">
        <v>170</v>
      </c>
      <c r="F26" s="7">
        <v>45602</v>
      </c>
      <c r="G26" s="6">
        <f>YEAR(Orders[[#This Row],[Order Date]])</f>
        <v>2024</v>
      </c>
      <c r="H26" s="6" t="str">
        <f>TEXT(Orders[[#This Row],[Order Date]],"mmmm")</f>
        <v>November</v>
      </c>
      <c r="I26" s="6" t="str">
        <f>"Q"&amp;ROUNDUP(MONTH(Orders[[#This Row],[Order Date]])/3,0)</f>
        <v>Q4</v>
      </c>
      <c r="J26" s="14">
        <v>6</v>
      </c>
      <c r="K26" s="16">
        <v>418.15</v>
      </c>
      <c r="L26" s="9">
        <v>2508.9</v>
      </c>
    </row>
    <row r="27" spans="1:12" ht="28.5" x14ac:dyDescent="1.4">
      <c r="A27" s="6" t="s">
        <v>9</v>
      </c>
      <c r="B27" s="6" t="s">
        <v>77</v>
      </c>
      <c r="C27" s="6" t="s">
        <v>38</v>
      </c>
      <c r="D27" s="6" t="s">
        <v>169</v>
      </c>
      <c r="E27" s="6" t="s">
        <v>170</v>
      </c>
      <c r="F27" s="7">
        <v>45603</v>
      </c>
      <c r="G27" s="6">
        <f>YEAR(Orders[[#This Row],[Order Date]])</f>
        <v>2024</v>
      </c>
      <c r="H27" s="6" t="str">
        <f>TEXT(Orders[[#This Row],[Order Date]],"mmmm")</f>
        <v>November</v>
      </c>
      <c r="I27" s="6" t="str">
        <f>"Q"&amp;ROUNDUP(MONTH(Orders[[#This Row],[Order Date]])/3,0)</f>
        <v>Q4</v>
      </c>
      <c r="J27" s="14">
        <v>22</v>
      </c>
      <c r="K27" s="16">
        <v>47.94</v>
      </c>
      <c r="L27" s="9">
        <v>1054.68</v>
      </c>
    </row>
    <row r="28" spans="1:12" ht="28.5" x14ac:dyDescent="1.4">
      <c r="A28" s="6" t="s">
        <v>80</v>
      </c>
      <c r="B28" s="6" t="s">
        <v>81</v>
      </c>
      <c r="C28" s="6" t="s">
        <v>97</v>
      </c>
      <c r="D28" s="6" t="s">
        <v>174</v>
      </c>
      <c r="E28" s="6" t="s">
        <v>175</v>
      </c>
      <c r="F28" s="7">
        <v>45308</v>
      </c>
      <c r="G28" s="6">
        <f>YEAR(Orders[[#This Row],[Order Date]])</f>
        <v>2024</v>
      </c>
      <c r="H28" s="6" t="str">
        <f>TEXT(Orders[[#This Row],[Order Date]],"mmmm")</f>
        <v>January</v>
      </c>
      <c r="I28" s="6" t="str">
        <f>"Q"&amp;ROUNDUP(MONTH(Orders[[#This Row],[Order Date]])/3,0)</f>
        <v>Q1</v>
      </c>
      <c r="J28" s="14">
        <v>10</v>
      </c>
      <c r="K28" s="16">
        <v>297.45</v>
      </c>
      <c r="L28" s="9">
        <v>2974.5</v>
      </c>
    </row>
    <row r="29" spans="1:12" ht="28.5" x14ac:dyDescent="1.4">
      <c r="A29" s="6" t="s">
        <v>80</v>
      </c>
      <c r="B29" s="6" t="s">
        <v>91</v>
      </c>
      <c r="C29" s="6" t="s">
        <v>124</v>
      </c>
      <c r="D29" s="6" t="s">
        <v>174</v>
      </c>
      <c r="E29" s="6" t="s">
        <v>175</v>
      </c>
      <c r="F29" s="7">
        <v>45538</v>
      </c>
      <c r="G29" s="6">
        <f>YEAR(Orders[[#This Row],[Order Date]])</f>
        <v>2024</v>
      </c>
      <c r="H29" s="6" t="str">
        <f>TEXT(Orders[[#This Row],[Order Date]],"mmmm")</f>
        <v>September</v>
      </c>
      <c r="I29" s="6" t="str">
        <f>"Q"&amp;ROUNDUP(MONTH(Orders[[#This Row],[Order Date]])/3,0)</f>
        <v>Q3</v>
      </c>
      <c r="J29" s="14">
        <v>36</v>
      </c>
      <c r="K29" s="16">
        <v>69.84</v>
      </c>
      <c r="L29" s="9">
        <v>2514.2399999999998</v>
      </c>
    </row>
    <row r="30" spans="1:12" ht="28.5" x14ac:dyDescent="1.4">
      <c r="A30" s="6" t="s">
        <v>80</v>
      </c>
      <c r="B30" s="6" t="s">
        <v>57</v>
      </c>
      <c r="C30" s="6" t="s">
        <v>49</v>
      </c>
      <c r="D30" s="6" t="s">
        <v>169</v>
      </c>
      <c r="E30" s="6" t="s">
        <v>170</v>
      </c>
      <c r="F30" s="7">
        <v>45386</v>
      </c>
      <c r="G30" s="6">
        <f>YEAR(Orders[[#This Row],[Order Date]])</f>
        <v>2024</v>
      </c>
      <c r="H30" s="6" t="str">
        <f>TEXT(Orders[[#This Row],[Order Date]],"mmmm")</f>
        <v>April</v>
      </c>
      <c r="I30" s="6" t="str">
        <f>"Q"&amp;ROUNDUP(MONTH(Orders[[#This Row],[Order Date]])/3,0)</f>
        <v>Q2</v>
      </c>
      <c r="J30" s="14">
        <v>2</v>
      </c>
      <c r="K30" s="16">
        <v>129.66</v>
      </c>
      <c r="L30" s="9">
        <v>259.32</v>
      </c>
    </row>
    <row r="31" spans="1:12" ht="28.5" x14ac:dyDescent="1.4">
      <c r="A31" s="6" t="s">
        <v>80</v>
      </c>
      <c r="B31" s="6" t="s">
        <v>31</v>
      </c>
      <c r="C31" s="6" t="s">
        <v>69</v>
      </c>
      <c r="D31" s="6" t="s">
        <v>169</v>
      </c>
      <c r="E31" s="6" t="s">
        <v>173</v>
      </c>
      <c r="F31" s="7">
        <v>45308</v>
      </c>
      <c r="G31" s="6">
        <f>YEAR(Orders[[#This Row],[Order Date]])</f>
        <v>2024</v>
      </c>
      <c r="H31" s="6" t="str">
        <f>TEXT(Orders[[#This Row],[Order Date]],"mmmm")</f>
        <v>January</v>
      </c>
      <c r="I31" s="6" t="str">
        <f>"Q"&amp;ROUNDUP(MONTH(Orders[[#This Row],[Order Date]])/3,0)</f>
        <v>Q1</v>
      </c>
      <c r="J31" s="14">
        <v>23</v>
      </c>
      <c r="K31" s="16">
        <v>449.36</v>
      </c>
      <c r="L31" s="9">
        <v>10335.280000000001</v>
      </c>
    </row>
    <row r="32" spans="1:12" ht="28.5" x14ac:dyDescent="1.4">
      <c r="A32" s="6" t="s">
        <v>80</v>
      </c>
      <c r="B32" s="6" t="s">
        <v>81</v>
      </c>
      <c r="C32" s="6" t="s">
        <v>137</v>
      </c>
      <c r="D32" s="6" t="s">
        <v>171</v>
      </c>
      <c r="E32" s="6" t="s">
        <v>172</v>
      </c>
      <c r="F32" s="7">
        <v>45378</v>
      </c>
      <c r="G32" s="6">
        <f>YEAR(Orders[[#This Row],[Order Date]])</f>
        <v>2024</v>
      </c>
      <c r="H32" s="6" t="str">
        <f>TEXT(Orders[[#This Row],[Order Date]],"mmmm")</f>
        <v>March</v>
      </c>
      <c r="I32" s="6" t="str">
        <f>"Q"&amp;ROUNDUP(MONTH(Orders[[#This Row],[Order Date]])/3,0)</f>
        <v>Q1</v>
      </c>
      <c r="J32" s="14">
        <v>39</v>
      </c>
      <c r="K32" s="16">
        <v>6.95</v>
      </c>
      <c r="L32" s="9">
        <v>271.05</v>
      </c>
    </row>
    <row r="33" spans="1:12" ht="28.5" x14ac:dyDescent="1.4">
      <c r="A33" s="6" t="s">
        <v>80</v>
      </c>
      <c r="B33" s="6" t="s">
        <v>48</v>
      </c>
      <c r="C33" s="6" t="s">
        <v>137</v>
      </c>
      <c r="D33" s="6" t="s">
        <v>171</v>
      </c>
      <c r="E33" s="6" t="s">
        <v>172</v>
      </c>
      <c r="F33" s="7">
        <v>45300</v>
      </c>
      <c r="G33" s="6">
        <f>YEAR(Orders[[#This Row],[Order Date]])</f>
        <v>2024</v>
      </c>
      <c r="H33" s="6" t="str">
        <f>TEXT(Orders[[#This Row],[Order Date]],"mmmm")</f>
        <v>January</v>
      </c>
      <c r="I33" s="6" t="str">
        <f>"Q"&amp;ROUNDUP(MONTH(Orders[[#This Row],[Order Date]])/3,0)</f>
        <v>Q1</v>
      </c>
      <c r="J33" s="14">
        <v>21</v>
      </c>
      <c r="K33" s="16">
        <v>342.75</v>
      </c>
      <c r="L33" s="9">
        <v>7197.75</v>
      </c>
    </row>
    <row r="34" spans="1:12" ht="28.5" x14ac:dyDescent="1.4">
      <c r="A34" s="6" t="s">
        <v>80</v>
      </c>
      <c r="B34" s="6" t="s">
        <v>91</v>
      </c>
      <c r="C34" s="6" t="s">
        <v>49</v>
      </c>
      <c r="D34" s="6" t="s">
        <v>167</v>
      </c>
      <c r="E34" s="6" t="s">
        <v>176</v>
      </c>
      <c r="F34" s="7">
        <v>45336</v>
      </c>
      <c r="G34" s="6">
        <f>YEAR(Orders[[#This Row],[Order Date]])</f>
        <v>2024</v>
      </c>
      <c r="H34" s="6" t="str">
        <f>TEXT(Orders[[#This Row],[Order Date]],"mmmm")</f>
        <v>February</v>
      </c>
      <c r="I34" s="6" t="str">
        <f>"Q"&amp;ROUNDUP(MONTH(Orders[[#This Row],[Order Date]])/3,0)</f>
        <v>Q1</v>
      </c>
      <c r="J34" s="14">
        <v>33</v>
      </c>
      <c r="K34" s="16">
        <v>228.83</v>
      </c>
      <c r="L34" s="9">
        <v>7551.39</v>
      </c>
    </row>
    <row r="35" spans="1:12" ht="28.5" x14ac:dyDescent="1.4">
      <c r="A35" s="6" t="s">
        <v>80</v>
      </c>
      <c r="B35" s="6" t="s">
        <v>57</v>
      </c>
      <c r="C35" s="6" t="s">
        <v>32</v>
      </c>
      <c r="D35" s="6" t="s">
        <v>171</v>
      </c>
      <c r="E35" s="6" t="s">
        <v>172</v>
      </c>
      <c r="F35" s="7">
        <v>45545</v>
      </c>
      <c r="G35" s="6">
        <f>YEAR(Orders[[#This Row],[Order Date]])</f>
        <v>2024</v>
      </c>
      <c r="H35" s="6" t="str">
        <f>TEXT(Orders[[#This Row],[Order Date]],"mmmm")</f>
        <v>September</v>
      </c>
      <c r="I35" s="6" t="str">
        <f>"Q"&amp;ROUNDUP(MONTH(Orders[[#This Row],[Order Date]])/3,0)</f>
        <v>Q3</v>
      </c>
      <c r="J35" s="14">
        <v>13</v>
      </c>
      <c r="K35" s="16">
        <v>347.9</v>
      </c>
      <c r="L35" s="9">
        <v>4522.7</v>
      </c>
    </row>
    <row r="36" spans="1:12" ht="28.5" x14ac:dyDescent="1.4">
      <c r="A36" s="6" t="s">
        <v>80</v>
      </c>
      <c r="B36" s="6" t="s">
        <v>91</v>
      </c>
      <c r="C36" s="6" t="s">
        <v>49</v>
      </c>
      <c r="D36" s="6" t="s">
        <v>171</v>
      </c>
      <c r="E36" s="6" t="s">
        <v>172</v>
      </c>
      <c r="F36" s="7">
        <v>45547</v>
      </c>
      <c r="G36" s="6">
        <f>YEAR(Orders[[#This Row],[Order Date]])</f>
        <v>2024</v>
      </c>
      <c r="H36" s="6" t="str">
        <f>TEXT(Orders[[#This Row],[Order Date]],"mmmm")</f>
        <v>September</v>
      </c>
      <c r="I36" s="6" t="str">
        <f>"Q"&amp;ROUNDUP(MONTH(Orders[[#This Row],[Order Date]])/3,0)</f>
        <v>Q3</v>
      </c>
      <c r="J36" s="14">
        <v>17</v>
      </c>
      <c r="K36" s="16">
        <v>461.78</v>
      </c>
      <c r="L36" s="9">
        <v>7850.26</v>
      </c>
    </row>
    <row r="37" spans="1:12" ht="28.5" x14ac:dyDescent="1.4">
      <c r="A37" s="6" t="s">
        <v>80</v>
      </c>
      <c r="B37" s="6" t="s">
        <v>75</v>
      </c>
      <c r="C37" s="6" t="s">
        <v>137</v>
      </c>
      <c r="D37" s="6" t="s">
        <v>167</v>
      </c>
      <c r="E37" s="6" t="s">
        <v>168</v>
      </c>
      <c r="F37" s="7">
        <v>45345</v>
      </c>
      <c r="G37" s="6">
        <f>YEAR(Orders[[#This Row],[Order Date]])</f>
        <v>2024</v>
      </c>
      <c r="H37" s="6" t="str">
        <f>TEXT(Orders[[#This Row],[Order Date]],"mmmm")</f>
        <v>February</v>
      </c>
      <c r="I37" s="6" t="str">
        <f>"Q"&amp;ROUNDUP(MONTH(Orders[[#This Row],[Order Date]])/3,0)</f>
        <v>Q1</v>
      </c>
      <c r="J37" s="14">
        <v>16</v>
      </c>
      <c r="K37" s="16">
        <v>217.03</v>
      </c>
      <c r="L37" s="9">
        <v>3472.48</v>
      </c>
    </row>
    <row r="38" spans="1:12" ht="28.5" x14ac:dyDescent="1.4">
      <c r="A38" s="6" t="s">
        <v>80</v>
      </c>
      <c r="B38" s="6" t="s">
        <v>75</v>
      </c>
      <c r="C38" s="6" t="s">
        <v>65</v>
      </c>
      <c r="D38" s="6" t="s">
        <v>174</v>
      </c>
      <c r="E38" s="6" t="s">
        <v>175</v>
      </c>
      <c r="F38" s="7">
        <v>45357</v>
      </c>
      <c r="G38" s="6">
        <f>YEAR(Orders[[#This Row],[Order Date]])</f>
        <v>2024</v>
      </c>
      <c r="H38" s="6" t="str">
        <f>TEXT(Orders[[#This Row],[Order Date]],"mmmm")</f>
        <v>March</v>
      </c>
      <c r="I38" s="6" t="str">
        <f>"Q"&amp;ROUNDUP(MONTH(Orders[[#This Row],[Order Date]])/3,0)</f>
        <v>Q1</v>
      </c>
      <c r="J38" s="14">
        <v>17</v>
      </c>
      <c r="K38" s="16">
        <v>442</v>
      </c>
      <c r="L38" s="9">
        <v>7514</v>
      </c>
    </row>
    <row r="39" spans="1:12" ht="28.5" x14ac:dyDescent="1.4">
      <c r="A39" s="6" t="s">
        <v>80</v>
      </c>
      <c r="B39" s="6" t="s">
        <v>91</v>
      </c>
      <c r="C39" s="6" t="s">
        <v>38</v>
      </c>
      <c r="D39" s="6" t="s">
        <v>169</v>
      </c>
      <c r="E39" s="6" t="s">
        <v>170</v>
      </c>
      <c r="F39" s="7">
        <v>45599</v>
      </c>
      <c r="G39" s="6">
        <f>YEAR(Orders[[#This Row],[Order Date]])</f>
        <v>2024</v>
      </c>
      <c r="H39" s="6" t="str">
        <f>TEXT(Orders[[#This Row],[Order Date]],"mmmm")</f>
        <v>November</v>
      </c>
      <c r="I39" s="6" t="str">
        <f>"Q"&amp;ROUNDUP(MONTH(Orders[[#This Row],[Order Date]])/3,0)</f>
        <v>Q4</v>
      </c>
      <c r="J39" s="14">
        <v>15</v>
      </c>
      <c r="K39" s="16">
        <v>84.93</v>
      </c>
      <c r="L39" s="9">
        <v>1273.95</v>
      </c>
    </row>
    <row r="40" spans="1:12" ht="28.5" x14ac:dyDescent="1.4">
      <c r="A40" s="6" t="s">
        <v>80</v>
      </c>
      <c r="B40" s="6" t="s">
        <v>81</v>
      </c>
      <c r="C40" s="6" t="s">
        <v>97</v>
      </c>
      <c r="D40" s="6" t="s">
        <v>169</v>
      </c>
      <c r="E40" s="6" t="s">
        <v>170</v>
      </c>
      <c r="F40" s="7">
        <v>45345</v>
      </c>
      <c r="G40" s="6">
        <f>YEAR(Orders[[#This Row],[Order Date]])</f>
        <v>2024</v>
      </c>
      <c r="H40" s="6" t="str">
        <f>TEXT(Orders[[#This Row],[Order Date]],"mmmm")</f>
        <v>February</v>
      </c>
      <c r="I40" s="6" t="str">
        <f>"Q"&amp;ROUNDUP(MONTH(Orders[[#This Row],[Order Date]])/3,0)</f>
        <v>Q1</v>
      </c>
      <c r="J40" s="14">
        <v>24</v>
      </c>
      <c r="K40" s="16">
        <v>14.64</v>
      </c>
      <c r="L40" s="9">
        <v>351.36</v>
      </c>
    </row>
    <row r="41" spans="1:12" ht="28.5" x14ac:dyDescent="1.4">
      <c r="A41" s="6" t="s">
        <v>80</v>
      </c>
      <c r="B41" s="6" t="s">
        <v>91</v>
      </c>
      <c r="C41" s="6" t="s">
        <v>38</v>
      </c>
      <c r="D41" s="6" t="s">
        <v>169</v>
      </c>
      <c r="E41" s="6" t="s">
        <v>170</v>
      </c>
      <c r="F41" s="7">
        <v>45557</v>
      </c>
      <c r="G41" s="6">
        <f>YEAR(Orders[[#This Row],[Order Date]])</f>
        <v>2024</v>
      </c>
      <c r="H41" s="6" t="str">
        <f>TEXT(Orders[[#This Row],[Order Date]],"mmmm")</f>
        <v>September</v>
      </c>
      <c r="I41" s="6" t="str">
        <f>"Q"&amp;ROUNDUP(MONTH(Orders[[#This Row],[Order Date]])/3,0)</f>
        <v>Q3</v>
      </c>
      <c r="J41" s="14">
        <v>5</v>
      </c>
      <c r="K41" s="16">
        <v>60.86</v>
      </c>
      <c r="L41" s="9">
        <v>304.3</v>
      </c>
    </row>
    <row r="42" spans="1:12" ht="28.5" x14ac:dyDescent="1.4">
      <c r="A42" s="6" t="s">
        <v>80</v>
      </c>
      <c r="B42" s="6" t="s">
        <v>75</v>
      </c>
      <c r="C42" s="6" t="s">
        <v>65</v>
      </c>
      <c r="D42" s="6" t="s">
        <v>169</v>
      </c>
      <c r="E42" s="6" t="s">
        <v>173</v>
      </c>
      <c r="F42" s="7">
        <v>45430</v>
      </c>
      <c r="G42" s="6">
        <f>YEAR(Orders[[#This Row],[Order Date]])</f>
        <v>2024</v>
      </c>
      <c r="H42" s="6" t="str">
        <f>TEXT(Orders[[#This Row],[Order Date]],"mmmm")</f>
        <v>May</v>
      </c>
      <c r="I42" s="6" t="str">
        <f>"Q"&amp;ROUNDUP(MONTH(Orders[[#This Row],[Order Date]])/3,0)</f>
        <v>Q2</v>
      </c>
      <c r="J42" s="14">
        <v>9</v>
      </c>
      <c r="K42" s="16">
        <v>410.79</v>
      </c>
      <c r="L42" s="9">
        <v>3697.11</v>
      </c>
    </row>
    <row r="43" spans="1:12" ht="28.5" x14ac:dyDescent="1.4">
      <c r="A43" s="6" t="s">
        <v>80</v>
      </c>
      <c r="B43" s="6" t="s">
        <v>31</v>
      </c>
      <c r="C43" s="6" t="s">
        <v>137</v>
      </c>
      <c r="D43" s="6" t="s">
        <v>174</v>
      </c>
      <c r="E43" s="6" t="s">
        <v>175</v>
      </c>
      <c r="F43" s="7">
        <v>45312</v>
      </c>
      <c r="G43" s="6">
        <f>YEAR(Orders[[#This Row],[Order Date]])</f>
        <v>2024</v>
      </c>
      <c r="H43" s="6" t="str">
        <f>TEXT(Orders[[#This Row],[Order Date]],"mmmm")</f>
        <v>January</v>
      </c>
      <c r="I43" s="6" t="str">
        <f>"Q"&amp;ROUNDUP(MONTH(Orders[[#This Row],[Order Date]])/3,0)</f>
        <v>Q1</v>
      </c>
      <c r="J43" s="14">
        <v>12</v>
      </c>
      <c r="K43" s="16">
        <v>215.53</v>
      </c>
      <c r="L43" s="9">
        <v>2586.36</v>
      </c>
    </row>
    <row r="44" spans="1:12" ht="28.5" x14ac:dyDescent="1.4">
      <c r="A44" s="6" t="s">
        <v>80</v>
      </c>
      <c r="B44" s="6" t="s">
        <v>77</v>
      </c>
      <c r="C44" s="6" t="s">
        <v>41</v>
      </c>
      <c r="D44" s="6" t="s">
        <v>169</v>
      </c>
      <c r="E44" s="6" t="s">
        <v>173</v>
      </c>
      <c r="F44" s="7">
        <v>45342</v>
      </c>
      <c r="G44" s="6">
        <f>YEAR(Orders[[#This Row],[Order Date]])</f>
        <v>2024</v>
      </c>
      <c r="H44" s="6" t="str">
        <f>TEXT(Orders[[#This Row],[Order Date]],"mmmm")</f>
        <v>February</v>
      </c>
      <c r="I44" s="6" t="str">
        <f>"Q"&amp;ROUNDUP(MONTH(Orders[[#This Row],[Order Date]])/3,0)</f>
        <v>Q1</v>
      </c>
      <c r="J44" s="14">
        <v>17</v>
      </c>
      <c r="K44" s="16">
        <v>432.07</v>
      </c>
      <c r="L44" s="9">
        <v>7345.19</v>
      </c>
    </row>
    <row r="45" spans="1:12" ht="28.5" x14ac:dyDescent="1.4">
      <c r="A45" s="6" t="s">
        <v>80</v>
      </c>
      <c r="B45" s="6" t="s">
        <v>91</v>
      </c>
      <c r="C45" s="6" t="s">
        <v>177</v>
      </c>
      <c r="D45" s="6" t="s">
        <v>169</v>
      </c>
      <c r="E45" s="6" t="s">
        <v>173</v>
      </c>
      <c r="F45" s="7">
        <v>45536</v>
      </c>
      <c r="G45" s="6">
        <f>YEAR(Orders[[#This Row],[Order Date]])</f>
        <v>2024</v>
      </c>
      <c r="H45" s="6" t="str">
        <f>TEXT(Orders[[#This Row],[Order Date]],"mmmm")</f>
        <v>September</v>
      </c>
      <c r="I45" s="6" t="str">
        <f>"Q"&amp;ROUNDUP(MONTH(Orders[[#This Row],[Order Date]])/3,0)</f>
        <v>Q3</v>
      </c>
      <c r="J45" s="14">
        <v>16</v>
      </c>
      <c r="K45" s="16">
        <v>469.37</v>
      </c>
      <c r="L45" s="9">
        <v>7509.92</v>
      </c>
    </row>
    <row r="46" spans="1:12" ht="28.5" x14ac:dyDescent="1.4">
      <c r="A46" s="6" t="s">
        <v>80</v>
      </c>
      <c r="B46" s="6" t="s">
        <v>48</v>
      </c>
      <c r="C46" s="6" t="s">
        <v>41</v>
      </c>
      <c r="D46" s="6" t="s">
        <v>167</v>
      </c>
      <c r="E46" s="6" t="s">
        <v>176</v>
      </c>
      <c r="F46" s="7">
        <v>45423</v>
      </c>
      <c r="G46" s="6">
        <f>YEAR(Orders[[#This Row],[Order Date]])</f>
        <v>2024</v>
      </c>
      <c r="H46" s="6" t="str">
        <f>TEXT(Orders[[#This Row],[Order Date]],"mmmm")</f>
        <v>May</v>
      </c>
      <c r="I46" s="6" t="str">
        <f>"Q"&amp;ROUNDUP(MONTH(Orders[[#This Row],[Order Date]])/3,0)</f>
        <v>Q2</v>
      </c>
      <c r="J46" s="14">
        <v>34</v>
      </c>
      <c r="K46" s="16">
        <v>380.95</v>
      </c>
      <c r="L46" s="9">
        <v>12952.3</v>
      </c>
    </row>
    <row r="47" spans="1:12" ht="28.5" x14ac:dyDescent="1.4">
      <c r="A47" s="6" t="s">
        <v>80</v>
      </c>
      <c r="B47" s="6" t="s">
        <v>31</v>
      </c>
      <c r="C47" s="6" t="s">
        <v>49</v>
      </c>
      <c r="D47" s="6" t="s">
        <v>169</v>
      </c>
      <c r="E47" s="6" t="s">
        <v>173</v>
      </c>
      <c r="F47" s="7">
        <v>45425</v>
      </c>
      <c r="G47" s="6">
        <f>YEAR(Orders[[#This Row],[Order Date]])</f>
        <v>2024</v>
      </c>
      <c r="H47" s="6" t="str">
        <f>TEXT(Orders[[#This Row],[Order Date]],"mmmm")</f>
        <v>May</v>
      </c>
      <c r="I47" s="6" t="str">
        <f>"Q"&amp;ROUNDUP(MONTH(Orders[[#This Row],[Order Date]])/3,0)</f>
        <v>Q2</v>
      </c>
      <c r="J47" s="14">
        <v>3</v>
      </c>
      <c r="K47" s="16">
        <v>12.6</v>
      </c>
      <c r="L47" s="9">
        <v>37.799999999999997</v>
      </c>
    </row>
    <row r="48" spans="1:12" ht="28.5" x14ac:dyDescent="1.4">
      <c r="A48" s="6" t="s">
        <v>80</v>
      </c>
      <c r="B48" s="6" t="s">
        <v>75</v>
      </c>
      <c r="C48" s="6" t="s">
        <v>32</v>
      </c>
      <c r="D48" s="6" t="s">
        <v>169</v>
      </c>
      <c r="E48" s="6" t="s">
        <v>170</v>
      </c>
      <c r="F48" s="7">
        <v>45622</v>
      </c>
      <c r="G48" s="6">
        <f>YEAR(Orders[[#This Row],[Order Date]])</f>
        <v>2024</v>
      </c>
      <c r="H48" s="6" t="str">
        <f>TEXT(Orders[[#This Row],[Order Date]],"mmmm")</f>
        <v>November</v>
      </c>
      <c r="I48" s="6" t="str">
        <f>"Q"&amp;ROUNDUP(MONTH(Orders[[#This Row],[Order Date]])/3,0)</f>
        <v>Q4</v>
      </c>
      <c r="J48" s="14">
        <v>32</v>
      </c>
      <c r="K48" s="16">
        <v>275.22000000000003</v>
      </c>
      <c r="L48" s="9">
        <v>8807.0400000000009</v>
      </c>
    </row>
    <row r="49" spans="1:12" ht="28.5" x14ac:dyDescent="1.4">
      <c r="A49" s="6" t="s">
        <v>80</v>
      </c>
      <c r="B49" s="6" t="s">
        <v>81</v>
      </c>
      <c r="C49" s="6" t="s">
        <v>141</v>
      </c>
      <c r="D49" s="6" t="s">
        <v>167</v>
      </c>
      <c r="E49" s="6" t="s">
        <v>176</v>
      </c>
      <c r="F49" s="7">
        <v>45490</v>
      </c>
      <c r="G49" s="6">
        <f>YEAR(Orders[[#This Row],[Order Date]])</f>
        <v>2024</v>
      </c>
      <c r="H49" s="6" t="str">
        <f>TEXT(Orders[[#This Row],[Order Date]],"mmmm")</f>
        <v>July</v>
      </c>
      <c r="I49" s="6" t="str">
        <f>"Q"&amp;ROUNDUP(MONTH(Orders[[#This Row],[Order Date]])/3,0)</f>
        <v>Q3</v>
      </c>
      <c r="J49" s="14">
        <v>23</v>
      </c>
      <c r="K49" s="16">
        <v>491.03</v>
      </c>
      <c r="L49" s="9">
        <v>11293.69</v>
      </c>
    </row>
    <row r="50" spans="1:12" ht="28.5" x14ac:dyDescent="1.4">
      <c r="A50" s="6" t="s">
        <v>80</v>
      </c>
      <c r="B50" s="6" t="s">
        <v>48</v>
      </c>
      <c r="C50" s="6" t="s">
        <v>65</v>
      </c>
      <c r="D50" s="6" t="s">
        <v>169</v>
      </c>
      <c r="E50" s="6" t="s">
        <v>170</v>
      </c>
      <c r="F50" s="7">
        <v>45611</v>
      </c>
      <c r="G50" s="6">
        <f>YEAR(Orders[[#This Row],[Order Date]])</f>
        <v>2024</v>
      </c>
      <c r="H50" s="6" t="str">
        <f>TEXT(Orders[[#This Row],[Order Date]],"mmmm")</f>
        <v>November</v>
      </c>
      <c r="I50" s="6" t="str">
        <f>"Q"&amp;ROUNDUP(MONTH(Orders[[#This Row],[Order Date]])/3,0)</f>
        <v>Q4</v>
      </c>
      <c r="J50" s="14">
        <v>25</v>
      </c>
      <c r="K50" s="16">
        <v>435.92</v>
      </c>
      <c r="L50" s="9">
        <v>10898</v>
      </c>
    </row>
    <row r="51" spans="1:12" ht="28.5" x14ac:dyDescent="1.4">
      <c r="A51" s="6" t="s">
        <v>80</v>
      </c>
      <c r="B51" s="6" t="s">
        <v>31</v>
      </c>
      <c r="C51" s="6" t="s">
        <v>69</v>
      </c>
      <c r="D51" s="6" t="s">
        <v>167</v>
      </c>
      <c r="E51" s="6" t="s">
        <v>168</v>
      </c>
      <c r="F51" s="7">
        <v>45430</v>
      </c>
      <c r="G51" s="6">
        <f>YEAR(Orders[[#This Row],[Order Date]])</f>
        <v>2024</v>
      </c>
      <c r="H51" s="6" t="str">
        <f>TEXT(Orders[[#This Row],[Order Date]],"mmmm")</f>
        <v>May</v>
      </c>
      <c r="I51" s="6" t="str">
        <f>"Q"&amp;ROUNDUP(MONTH(Orders[[#This Row],[Order Date]])/3,0)</f>
        <v>Q2</v>
      </c>
      <c r="J51" s="14">
        <v>29</v>
      </c>
      <c r="K51" s="16">
        <v>6.79</v>
      </c>
      <c r="L51" s="9">
        <v>196.91</v>
      </c>
    </row>
    <row r="52" spans="1:12" ht="28.5" x14ac:dyDescent="1.4">
      <c r="A52" s="6" t="s">
        <v>80</v>
      </c>
      <c r="B52" s="6" t="s">
        <v>27</v>
      </c>
      <c r="C52" s="6" t="s">
        <v>49</v>
      </c>
      <c r="D52" s="6" t="s">
        <v>167</v>
      </c>
      <c r="E52" s="6" t="s">
        <v>176</v>
      </c>
      <c r="F52" s="7">
        <v>45404</v>
      </c>
      <c r="G52" s="6">
        <f>YEAR(Orders[[#This Row],[Order Date]])</f>
        <v>2024</v>
      </c>
      <c r="H52" s="6" t="str">
        <f>TEXT(Orders[[#This Row],[Order Date]],"mmmm")</f>
        <v>April</v>
      </c>
      <c r="I52" s="6" t="str">
        <f>"Q"&amp;ROUNDUP(MONTH(Orders[[#This Row],[Order Date]])/3,0)</f>
        <v>Q2</v>
      </c>
      <c r="J52" s="14">
        <v>23</v>
      </c>
      <c r="K52" s="16">
        <v>95.56</v>
      </c>
      <c r="L52" s="9">
        <v>2197.88</v>
      </c>
    </row>
    <row r="53" spans="1:12" ht="28.5" x14ac:dyDescent="1.4">
      <c r="A53" s="6" t="s">
        <v>111</v>
      </c>
      <c r="B53" s="6" t="s">
        <v>27</v>
      </c>
      <c r="C53" s="6" t="s">
        <v>65</v>
      </c>
      <c r="D53" s="6" t="s">
        <v>169</v>
      </c>
      <c r="E53" s="6" t="s">
        <v>173</v>
      </c>
      <c r="F53" s="7">
        <v>45401</v>
      </c>
      <c r="G53" s="6">
        <f>YEAR(Orders[[#This Row],[Order Date]])</f>
        <v>2024</v>
      </c>
      <c r="H53" s="6" t="str">
        <f>TEXT(Orders[[#This Row],[Order Date]],"mmmm")</f>
        <v>April</v>
      </c>
      <c r="I53" s="6" t="str">
        <f>"Q"&amp;ROUNDUP(MONTH(Orders[[#This Row],[Order Date]])/3,0)</f>
        <v>Q2</v>
      </c>
      <c r="J53" s="14">
        <v>33</v>
      </c>
      <c r="K53" s="16">
        <v>389.24</v>
      </c>
      <c r="L53" s="9">
        <v>12844.92</v>
      </c>
    </row>
    <row r="54" spans="1:12" ht="28.5" x14ac:dyDescent="1.4">
      <c r="A54" s="6" t="s">
        <v>111</v>
      </c>
      <c r="B54" s="6" t="s">
        <v>77</v>
      </c>
      <c r="C54" s="6" t="s">
        <v>65</v>
      </c>
      <c r="D54" s="6" t="s">
        <v>169</v>
      </c>
      <c r="E54" s="6" t="s">
        <v>170</v>
      </c>
      <c r="F54" s="7">
        <v>45316</v>
      </c>
      <c r="G54" s="6">
        <f>YEAR(Orders[[#This Row],[Order Date]])</f>
        <v>2024</v>
      </c>
      <c r="H54" s="6" t="str">
        <f>TEXT(Orders[[#This Row],[Order Date]],"mmmm")</f>
        <v>January</v>
      </c>
      <c r="I54" s="6" t="str">
        <f>"Q"&amp;ROUNDUP(MONTH(Orders[[#This Row],[Order Date]])/3,0)</f>
        <v>Q1</v>
      </c>
      <c r="J54" s="14">
        <v>20</v>
      </c>
      <c r="K54" s="16">
        <v>155.6</v>
      </c>
      <c r="L54" s="9">
        <v>3112</v>
      </c>
    </row>
    <row r="55" spans="1:12" ht="28.5" x14ac:dyDescent="1.4">
      <c r="A55" s="6" t="s">
        <v>111</v>
      </c>
      <c r="B55" s="6" t="s">
        <v>75</v>
      </c>
      <c r="C55" s="6" t="s">
        <v>124</v>
      </c>
      <c r="D55" s="6" t="s">
        <v>174</v>
      </c>
      <c r="E55" s="6" t="s">
        <v>175</v>
      </c>
      <c r="F55" s="7">
        <v>45483</v>
      </c>
      <c r="G55" s="6">
        <f>YEAR(Orders[[#This Row],[Order Date]])</f>
        <v>2024</v>
      </c>
      <c r="H55" s="6" t="str">
        <f>TEXT(Orders[[#This Row],[Order Date]],"mmmm")</f>
        <v>July</v>
      </c>
      <c r="I55" s="6" t="str">
        <f>"Q"&amp;ROUNDUP(MONTH(Orders[[#This Row],[Order Date]])/3,0)</f>
        <v>Q3</v>
      </c>
      <c r="J55" s="14">
        <v>21</v>
      </c>
      <c r="K55" s="16">
        <v>361.74</v>
      </c>
      <c r="L55" s="9">
        <v>7596.54</v>
      </c>
    </row>
    <row r="56" spans="1:12" ht="28.5" x14ac:dyDescent="1.4">
      <c r="A56" s="6" t="s">
        <v>111</v>
      </c>
      <c r="B56" s="6" t="s">
        <v>91</v>
      </c>
      <c r="C56" s="6" t="s">
        <v>141</v>
      </c>
      <c r="D56" s="6" t="s">
        <v>167</v>
      </c>
      <c r="E56" s="6" t="s">
        <v>168</v>
      </c>
      <c r="F56" s="7">
        <v>45547</v>
      </c>
      <c r="G56" s="6">
        <f>YEAR(Orders[[#This Row],[Order Date]])</f>
        <v>2024</v>
      </c>
      <c r="H56" s="6" t="str">
        <f>TEXT(Orders[[#This Row],[Order Date]],"mmmm")</f>
        <v>September</v>
      </c>
      <c r="I56" s="6" t="str">
        <f>"Q"&amp;ROUNDUP(MONTH(Orders[[#This Row],[Order Date]])/3,0)</f>
        <v>Q3</v>
      </c>
      <c r="J56" s="14">
        <v>28</v>
      </c>
      <c r="K56" s="16">
        <v>368.26</v>
      </c>
      <c r="L56" s="9">
        <v>10311.280000000001</v>
      </c>
    </row>
    <row r="57" spans="1:12" ht="28.5" x14ac:dyDescent="1.4">
      <c r="A57" s="6" t="s">
        <v>111</v>
      </c>
      <c r="B57" s="6" t="s">
        <v>48</v>
      </c>
      <c r="C57" s="6" t="s">
        <v>49</v>
      </c>
      <c r="D57" s="6" t="s">
        <v>174</v>
      </c>
      <c r="E57" s="6" t="s">
        <v>175</v>
      </c>
      <c r="F57" s="7">
        <v>45342</v>
      </c>
      <c r="G57" s="6">
        <f>YEAR(Orders[[#This Row],[Order Date]])</f>
        <v>2024</v>
      </c>
      <c r="H57" s="6" t="str">
        <f>TEXT(Orders[[#This Row],[Order Date]],"mmmm")</f>
        <v>February</v>
      </c>
      <c r="I57" s="6" t="str">
        <f>"Q"&amp;ROUNDUP(MONTH(Orders[[#This Row],[Order Date]])/3,0)</f>
        <v>Q1</v>
      </c>
      <c r="J57" s="14">
        <v>2</v>
      </c>
      <c r="K57" s="16">
        <v>25.72</v>
      </c>
      <c r="L57" s="9">
        <v>51.44</v>
      </c>
    </row>
    <row r="58" spans="1:12" ht="28.5" x14ac:dyDescent="1.4">
      <c r="A58" s="6" t="s">
        <v>111</v>
      </c>
      <c r="B58" s="6" t="s">
        <v>27</v>
      </c>
      <c r="C58" s="6" t="s">
        <v>97</v>
      </c>
      <c r="D58" s="6" t="s">
        <v>171</v>
      </c>
      <c r="E58" s="6" t="s">
        <v>172</v>
      </c>
      <c r="F58" s="7">
        <v>45609</v>
      </c>
      <c r="G58" s="6">
        <f>YEAR(Orders[[#This Row],[Order Date]])</f>
        <v>2024</v>
      </c>
      <c r="H58" s="6" t="str">
        <f>TEXT(Orders[[#This Row],[Order Date]],"mmmm")</f>
        <v>November</v>
      </c>
      <c r="I58" s="6" t="str">
        <f>"Q"&amp;ROUNDUP(MONTH(Orders[[#This Row],[Order Date]])/3,0)</f>
        <v>Q4</v>
      </c>
      <c r="J58" s="14">
        <v>35</v>
      </c>
      <c r="K58" s="16">
        <v>341.93</v>
      </c>
      <c r="L58" s="9">
        <v>11967.55</v>
      </c>
    </row>
    <row r="59" spans="1:12" ht="28.5" x14ac:dyDescent="1.4">
      <c r="A59" s="6" t="s">
        <v>111</v>
      </c>
      <c r="B59" s="6" t="s">
        <v>91</v>
      </c>
      <c r="C59" s="6" t="s">
        <v>41</v>
      </c>
      <c r="D59" s="6" t="s">
        <v>167</v>
      </c>
      <c r="E59" s="6" t="s">
        <v>168</v>
      </c>
      <c r="F59" s="7">
        <v>45544</v>
      </c>
      <c r="G59" s="6">
        <f>YEAR(Orders[[#This Row],[Order Date]])</f>
        <v>2024</v>
      </c>
      <c r="H59" s="6" t="str">
        <f>TEXT(Orders[[#This Row],[Order Date]],"mmmm")</f>
        <v>September</v>
      </c>
      <c r="I59" s="6" t="str">
        <f>"Q"&amp;ROUNDUP(MONTH(Orders[[#This Row],[Order Date]])/3,0)</f>
        <v>Q3</v>
      </c>
      <c r="J59" s="14">
        <v>6</v>
      </c>
      <c r="K59" s="16">
        <v>331.35</v>
      </c>
      <c r="L59" s="9">
        <v>1988.1</v>
      </c>
    </row>
    <row r="60" spans="1:12" ht="28.5" x14ac:dyDescent="1.4">
      <c r="A60" s="6" t="s">
        <v>111</v>
      </c>
      <c r="B60" s="6" t="s">
        <v>77</v>
      </c>
      <c r="C60" s="6" t="s">
        <v>141</v>
      </c>
      <c r="D60" s="6" t="s">
        <v>169</v>
      </c>
      <c r="E60" s="6" t="s">
        <v>173</v>
      </c>
      <c r="F60" s="7">
        <v>45401</v>
      </c>
      <c r="G60" s="6">
        <f>YEAR(Orders[[#This Row],[Order Date]])</f>
        <v>2024</v>
      </c>
      <c r="H60" s="6" t="str">
        <f>TEXT(Orders[[#This Row],[Order Date]],"mmmm")</f>
        <v>April</v>
      </c>
      <c r="I60" s="6" t="str">
        <f>"Q"&amp;ROUNDUP(MONTH(Orders[[#This Row],[Order Date]])/3,0)</f>
        <v>Q2</v>
      </c>
      <c r="J60" s="14">
        <v>30</v>
      </c>
      <c r="K60" s="16">
        <v>249.5</v>
      </c>
      <c r="L60" s="9">
        <v>7485</v>
      </c>
    </row>
    <row r="61" spans="1:12" ht="28.5" x14ac:dyDescent="1.4">
      <c r="A61" s="6" t="s">
        <v>111</v>
      </c>
      <c r="B61" s="6" t="s">
        <v>81</v>
      </c>
      <c r="C61" s="6" t="s">
        <v>32</v>
      </c>
      <c r="D61" s="6" t="s">
        <v>167</v>
      </c>
      <c r="E61" s="6" t="s">
        <v>168</v>
      </c>
      <c r="F61" s="7">
        <v>45393</v>
      </c>
      <c r="G61" s="6">
        <f>YEAR(Orders[[#This Row],[Order Date]])</f>
        <v>2024</v>
      </c>
      <c r="H61" s="6" t="str">
        <f>TEXT(Orders[[#This Row],[Order Date]],"mmmm")</f>
        <v>April</v>
      </c>
      <c r="I61" s="6" t="str">
        <f>"Q"&amp;ROUNDUP(MONTH(Orders[[#This Row],[Order Date]])/3,0)</f>
        <v>Q2</v>
      </c>
      <c r="J61" s="14">
        <v>5</v>
      </c>
      <c r="K61" s="16">
        <v>301.85000000000002</v>
      </c>
      <c r="L61" s="9">
        <v>1509.25</v>
      </c>
    </row>
    <row r="62" spans="1:12" ht="28.5" x14ac:dyDescent="1.4">
      <c r="A62" s="6" t="s">
        <v>111</v>
      </c>
      <c r="B62" s="6" t="s">
        <v>27</v>
      </c>
      <c r="C62" s="6" t="s">
        <v>120</v>
      </c>
      <c r="D62" s="6" t="s">
        <v>171</v>
      </c>
      <c r="E62" s="6" t="s">
        <v>172</v>
      </c>
      <c r="F62" s="7">
        <v>45517</v>
      </c>
      <c r="G62" s="6">
        <f>YEAR(Orders[[#This Row],[Order Date]])</f>
        <v>2024</v>
      </c>
      <c r="H62" s="6" t="str">
        <f>TEXT(Orders[[#This Row],[Order Date]],"mmmm")</f>
        <v>August</v>
      </c>
      <c r="I62" s="6" t="str">
        <f>"Q"&amp;ROUNDUP(MONTH(Orders[[#This Row],[Order Date]])/3,0)</f>
        <v>Q3</v>
      </c>
      <c r="J62" s="14">
        <v>4</v>
      </c>
      <c r="K62" s="16">
        <v>245.47</v>
      </c>
      <c r="L62" s="9">
        <v>981.88</v>
      </c>
    </row>
    <row r="63" spans="1:12" ht="28.5" x14ac:dyDescent="1.4">
      <c r="A63" s="6" t="s">
        <v>111</v>
      </c>
      <c r="B63" s="6" t="s">
        <v>77</v>
      </c>
      <c r="C63" s="6" t="s">
        <v>120</v>
      </c>
      <c r="D63" s="6" t="s">
        <v>169</v>
      </c>
      <c r="E63" s="6" t="s">
        <v>173</v>
      </c>
      <c r="F63" s="7">
        <v>45509</v>
      </c>
      <c r="G63" s="6">
        <f>YEAR(Orders[[#This Row],[Order Date]])</f>
        <v>2024</v>
      </c>
      <c r="H63" s="6" t="str">
        <f>TEXT(Orders[[#This Row],[Order Date]],"mmmm")</f>
        <v>August</v>
      </c>
      <c r="I63" s="6" t="str">
        <f>"Q"&amp;ROUNDUP(MONTH(Orders[[#This Row],[Order Date]])/3,0)</f>
        <v>Q3</v>
      </c>
      <c r="J63" s="14">
        <v>30</v>
      </c>
      <c r="K63" s="16">
        <v>235.84</v>
      </c>
      <c r="L63" s="9">
        <v>7075.2</v>
      </c>
    </row>
    <row r="64" spans="1:12" ht="28.5" x14ac:dyDescent="1.4">
      <c r="A64" s="6" t="s">
        <v>111</v>
      </c>
      <c r="B64" s="6" t="s">
        <v>77</v>
      </c>
      <c r="C64" s="6" t="s">
        <v>69</v>
      </c>
      <c r="D64" s="6" t="s">
        <v>167</v>
      </c>
      <c r="E64" s="6" t="s">
        <v>168</v>
      </c>
      <c r="F64" s="7">
        <v>45413</v>
      </c>
      <c r="G64" s="6">
        <f>YEAR(Orders[[#This Row],[Order Date]])</f>
        <v>2024</v>
      </c>
      <c r="H64" s="6" t="str">
        <f>TEXT(Orders[[#This Row],[Order Date]],"mmmm")</f>
        <v>May</v>
      </c>
      <c r="I64" s="6" t="str">
        <f>"Q"&amp;ROUNDUP(MONTH(Orders[[#This Row],[Order Date]])/3,0)</f>
        <v>Q2</v>
      </c>
      <c r="J64" s="14">
        <v>30</v>
      </c>
      <c r="K64" s="16">
        <v>42.85</v>
      </c>
      <c r="L64" s="9">
        <v>1285.5</v>
      </c>
    </row>
    <row r="65" spans="1:12" ht="28.5" x14ac:dyDescent="1.4">
      <c r="A65" s="6" t="s">
        <v>111</v>
      </c>
      <c r="B65" s="6" t="s">
        <v>91</v>
      </c>
      <c r="C65" s="6" t="s">
        <v>97</v>
      </c>
      <c r="D65" s="6" t="s">
        <v>167</v>
      </c>
      <c r="E65" s="6" t="s">
        <v>176</v>
      </c>
      <c r="F65" s="7">
        <v>45366</v>
      </c>
      <c r="G65" s="6">
        <f>YEAR(Orders[[#This Row],[Order Date]])</f>
        <v>2024</v>
      </c>
      <c r="H65" s="6" t="str">
        <f>TEXT(Orders[[#This Row],[Order Date]],"mmmm")</f>
        <v>March</v>
      </c>
      <c r="I65" s="6" t="str">
        <f>"Q"&amp;ROUNDUP(MONTH(Orders[[#This Row],[Order Date]])/3,0)</f>
        <v>Q1</v>
      </c>
      <c r="J65" s="14">
        <v>34</v>
      </c>
      <c r="K65" s="16">
        <v>134.6</v>
      </c>
      <c r="L65" s="9">
        <v>4576.3999999999996</v>
      </c>
    </row>
    <row r="66" spans="1:12" ht="28.5" x14ac:dyDescent="1.4">
      <c r="A66" s="6" t="s">
        <v>111</v>
      </c>
      <c r="B66" s="6" t="s">
        <v>27</v>
      </c>
      <c r="C66" s="6" t="s">
        <v>124</v>
      </c>
      <c r="D66" s="6" t="s">
        <v>167</v>
      </c>
      <c r="E66" s="6" t="s">
        <v>168</v>
      </c>
      <c r="F66" s="7">
        <v>45508</v>
      </c>
      <c r="G66" s="6">
        <f>YEAR(Orders[[#This Row],[Order Date]])</f>
        <v>2024</v>
      </c>
      <c r="H66" s="6" t="str">
        <f>TEXT(Orders[[#This Row],[Order Date]],"mmmm")</f>
        <v>August</v>
      </c>
      <c r="I66" s="6" t="str">
        <f>"Q"&amp;ROUNDUP(MONTH(Orders[[#This Row],[Order Date]])/3,0)</f>
        <v>Q3</v>
      </c>
      <c r="J66" s="14">
        <v>32</v>
      </c>
      <c r="K66" s="16">
        <v>200.07</v>
      </c>
      <c r="L66" s="9">
        <v>6402.24</v>
      </c>
    </row>
    <row r="67" spans="1:12" ht="28.5" x14ac:dyDescent="1.4">
      <c r="A67" s="6" t="s">
        <v>111</v>
      </c>
      <c r="B67" s="6" t="s">
        <v>48</v>
      </c>
      <c r="C67" s="6" t="s">
        <v>32</v>
      </c>
      <c r="D67" s="6" t="s">
        <v>169</v>
      </c>
      <c r="E67" s="6" t="s">
        <v>170</v>
      </c>
      <c r="F67" s="7">
        <v>45490</v>
      </c>
      <c r="G67" s="6">
        <f>YEAR(Orders[[#This Row],[Order Date]])</f>
        <v>2024</v>
      </c>
      <c r="H67" s="6" t="str">
        <f>TEXT(Orders[[#This Row],[Order Date]],"mmmm")</f>
        <v>July</v>
      </c>
      <c r="I67" s="6" t="str">
        <f>"Q"&amp;ROUNDUP(MONTH(Orders[[#This Row],[Order Date]])/3,0)</f>
        <v>Q3</v>
      </c>
      <c r="J67" s="14">
        <v>23</v>
      </c>
      <c r="K67" s="16">
        <v>191.17</v>
      </c>
      <c r="L67" s="9">
        <v>4396.91</v>
      </c>
    </row>
    <row r="68" spans="1:12" ht="28.5" x14ac:dyDescent="1.4">
      <c r="A68" s="6" t="s">
        <v>111</v>
      </c>
      <c r="B68" s="6" t="s">
        <v>77</v>
      </c>
      <c r="C68" s="6" t="s">
        <v>41</v>
      </c>
      <c r="D68" s="6" t="s">
        <v>169</v>
      </c>
      <c r="E68" s="6" t="s">
        <v>173</v>
      </c>
      <c r="F68" s="7">
        <v>45384</v>
      </c>
      <c r="G68" s="6">
        <f>YEAR(Orders[[#This Row],[Order Date]])</f>
        <v>2024</v>
      </c>
      <c r="H68" s="6" t="str">
        <f>TEXT(Orders[[#This Row],[Order Date]],"mmmm")</f>
        <v>April</v>
      </c>
      <c r="I68" s="6" t="str">
        <f>"Q"&amp;ROUNDUP(MONTH(Orders[[#This Row],[Order Date]])/3,0)</f>
        <v>Q2</v>
      </c>
      <c r="J68" s="14">
        <v>1</v>
      </c>
      <c r="K68" s="16">
        <v>451.28</v>
      </c>
      <c r="L68" s="9">
        <v>451.28</v>
      </c>
    </row>
    <row r="69" spans="1:12" ht="28.5" x14ac:dyDescent="1.4">
      <c r="A69" s="6" t="s">
        <v>111</v>
      </c>
      <c r="B69" s="6" t="s">
        <v>31</v>
      </c>
      <c r="C69" s="6" t="s">
        <v>177</v>
      </c>
      <c r="D69" s="6" t="s">
        <v>169</v>
      </c>
      <c r="E69" s="6" t="s">
        <v>170</v>
      </c>
      <c r="F69" s="7">
        <v>45458</v>
      </c>
      <c r="G69" s="6">
        <f>YEAR(Orders[[#This Row],[Order Date]])</f>
        <v>2024</v>
      </c>
      <c r="H69" s="6" t="str">
        <f>TEXT(Orders[[#This Row],[Order Date]],"mmmm")</f>
        <v>June</v>
      </c>
      <c r="I69" s="6" t="str">
        <f>"Q"&amp;ROUNDUP(MONTH(Orders[[#This Row],[Order Date]])/3,0)</f>
        <v>Q2</v>
      </c>
      <c r="J69" s="14">
        <v>28</v>
      </c>
      <c r="K69" s="16">
        <v>379.05</v>
      </c>
      <c r="L69" s="9">
        <v>10613.4</v>
      </c>
    </row>
    <row r="70" spans="1:12" ht="28.5" x14ac:dyDescent="1.4">
      <c r="A70" s="6" t="s">
        <v>111</v>
      </c>
      <c r="B70" s="6" t="s">
        <v>57</v>
      </c>
      <c r="C70" s="6" t="s">
        <v>65</v>
      </c>
      <c r="D70" s="6" t="s">
        <v>174</v>
      </c>
      <c r="E70" s="6" t="s">
        <v>175</v>
      </c>
      <c r="F70" s="7">
        <v>45399</v>
      </c>
      <c r="G70" s="6">
        <f>YEAR(Orders[[#This Row],[Order Date]])</f>
        <v>2024</v>
      </c>
      <c r="H70" s="6" t="str">
        <f>TEXT(Orders[[#This Row],[Order Date]],"mmmm")</f>
        <v>April</v>
      </c>
      <c r="I70" s="6" t="str">
        <f>"Q"&amp;ROUNDUP(MONTH(Orders[[#This Row],[Order Date]])/3,0)</f>
        <v>Q2</v>
      </c>
      <c r="J70" s="14">
        <v>18</v>
      </c>
      <c r="K70" s="16">
        <v>220.94</v>
      </c>
      <c r="L70" s="9">
        <v>3976.92</v>
      </c>
    </row>
    <row r="71" spans="1:12" ht="28.5" x14ac:dyDescent="1.4">
      <c r="A71" s="6" t="s">
        <v>111</v>
      </c>
      <c r="B71" s="6" t="s">
        <v>27</v>
      </c>
      <c r="C71" s="6" t="s">
        <v>177</v>
      </c>
      <c r="D71" s="6" t="s">
        <v>167</v>
      </c>
      <c r="E71" s="6" t="s">
        <v>168</v>
      </c>
      <c r="F71" s="7">
        <v>45484</v>
      </c>
      <c r="G71" s="6">
        <f>YEAR(Orders[[#This Row],[Order Date]])</f>
        <v>2024</v>
      </c>
      <c r="H71" s="6" t="str">
        <f>TEXT(Orders[[#This Row],[Order Date]],"mmmm")</f>
        <v>July</v>
      </c>
      <c r="I71" s="6" t="str">
        <f>"Q"&amp;ROUNDUP(MONTH(Orders[[#This Row],[Order Date]])/3,0)</f>
        <v>Q3</v>
      </c>
      <c r="J71" s="14">
        <v>36</v>
      </c>
      <c r="K71" s="16">
        <v>276.87</v>
      </c>
      <c r="L71" s="9">
        <v>9967.32</v>
      </c>
    </row>
    <row r="72" spans="1:12" ht="28.5" x14ac:dyDescent="1.4">
      <c r="A72" s="6" t="s">
        <v>111</v>
      </c>
      <c r="B72" s="6" t="s">
        <v>77</v>
      </c>
      <c r="C72" s="6" t="s">
        <v>38</v>
      </c>
      <c r="D72" s="6" t="s">
        <v>169</v>
      </c>
      <c r="E72" s="6" t="s">
        <v>170</v>
      </c>
      <c r="F72" s="7">
        <v>45599</v>
      </c>
      <c r="G72" s="6">
        <f>YEAR(Orders[[#This Row],[Order Date]])</f>
        <v>2024</v>
      </c>
      <c r="H72" s="6" t="str">
        <f>TEXT(Orders[[#This Row],[Order Date]],"mmmm")</f>
        <v>November</v>
      </c>
      <c r="I72" s="6" t="str">
        <f>"Q"&amp;ROUNDUP(MONTH(Orders[[#This Row],[Order Date]])/3,0)</f>
        <v>Q4</v>
      </c>
      <c r="J72" s="14">
        <v>19</v>
      </c>
      <c r="K72" s="16">
        <v>245.36</v>
      </c>
      <c r="L72" s="9">
        <v>4661.84</v>
      </c>
    </row>
    <row r="73" spans="1:12" ht="28.5" x14ac:dyDescent="1.4">
      <c r="A73" s="6" t="s">
        <v>111</v>
      </c>
      <c r="B73" s="6" t="s">
        <v>48</v>
      </c>
      <c r="C73" s="6" t="s">
        <v>32</v>
      </c>
      <c r="D73" s="6" t="s">
        <v>169</v>
      </c>
      <c r="E73" s="6" t="s">
        <v>173</v>
      </c>
      <c r="F73" s="7">
        <v>45647</v>
      </c>
      <c r="G73" s="6">
        <f>YEAR(Orders[[#This Row],[Order Date]])</f>
        <v>2024</v>
      </c>
      <c r="H73" s="6" t="str">
        <f>TEXT(Orders[[#This Row],[Order Date]],"mmmm")</f>
        <v>December</v>
      </c>
      <c r="I73" s="6" t="str">
        <f>"Q"&amp;ROUNDUP(MONTH(Orders[[#This Row],[Order Date]])/3,0)</f>
        <v>Q4</v>
      </c>
      <c r="J73" s="14">
        <v>17</v>
      </c>
      <c r="K73" s="16">
        <v>206.07</v>
      </c>
      <c r="L73" s="9">
        <v>3503.19</v>
      </c>
    </row>
    <row r="74" spans="1:12" ht="28.5" x14ac:dyDescent="1.4">
      <c r="A74" s="6" t="s">
        <v>111</v>
      </c>
      <c r="B74" s="6" t="s">
        <v>75</v>
      </c>
      <c r="C74" s="6" t="s">
        <v>32</v>
      </c>
      <c r="D74" s="6" t="s">
        <v>167</v>
      </c>
      <c r="E74" s="6" t="s">
        <v>168</v>
      </c>
      <c r="F74" s="7">
        <v>45340</v>
      </c>
      <c r="G74" s="6">
        <f>YEAR(Orders[[#This Row],[Order Date]])</f>
        <v>2024</v>
      </c>
      <c r="H74" s="6" t="str">
        <f>TEXT(Orders[[#This Row],[Order Date]],"mmmm")</f>
        <v>February</v>
      </c>
      <c r="I74" s="6" t="str">
        <f>"Q"&amp;ROUNDUP(MONTH(Orders[[#This Row],[Order Date]])/3,0)</f>
        <v>Q1</v>
      </c>
      <c r="J74" s="14">
        <v>14</v>
      </c>
      <c r="K74" s="16">
        <v>252.8</v>
      </c>
      <c r="L74" s="9">
        <v>3539.2</v>
      </c>
    </row>
    <row r="75" spans="1:12" ht="28.5" x14ac:dyDescent="1.4">
      <c r="A75" s="6" t="s">
        <v>111</v>
      </c>
      <c r="B75" s="6" t="s">
        <v>91</v>
      </c>
      <c r="C75" s="6" t="s">
        <v>69</v>
      </c>
      <c r="D75" s="6" t="s">
        <v>169</v>
      </c>
      <c r="E75" s="6" t="s">
        <v>173</v>
      </c>
      <c r="F75" s="7">
        <v>45481</v>
      </c>
      <c r="G75" s="6">
        <f>YEAR(Orders[[#This Row],[Order Date]])</f>
        <v>2024</v>
      </c>
      <c r="H75" s="6" t="str">
        <f>TEXT(Orders[[#This Row],[Order Date]],"mmmm")</f>
        <v>July</v>
      </c>
      <c r="I75" s="6" t="str">
        <f>"Q"&amp;ROUNDUP(MONTH(Orders[[#This Row],[Order Date]])/3,0)</f>
        <v>Q3</v>
      </c>
      <c r="J75" s="14">
        <v>9</v>
      </c>
      <c r="K75" s="16">
        <v>276.14999999999998</v>
      </c>
      <c r="L75" s="9">
        <v>2485.35</v>
      </c>
    </row>
    <row r="76" spans="1:12" ht="28.5" x14ac:dyDescent="1.4">
      <c r="A76" s="6" t="s">
        <v>111</v>
      </c>
      <c r="B76" s="6" t="s">
        <v>75</v>
      </c>
      <c r="C76" s="6" t="s">
        <v>137</v>
      </c>
      <c r="D76" s="6" t="s">
        <v>171</v>
      </c>
      <c r="E76" s="6" t="s">
        <v>172</v>
      </c>
      <c r="F76" s="7">
        <v>45463</v>
      </c>
      <c r="G76" s="6">
        <f>YEAR(Orders[[#This Row],[Order Date]])</f>
        <v>2024</v>
      </c>
      <c r="H76" s="6" t="str">
        <f>TEXT(Orders[[#This Row],[Order Date]],"mmmm")</f>
        <v>June</v>
      </c>
      <c r="I76" s="6" t="str">
        <f>"Q"&amp;ROUNDUP(MONTH(Orders[[#This Row],[Order Date]])/3,0)</f>
        <v>Q2</v>
      </c>
      <c r="J76" s="14">
        <v>17</v>
      </c>
      <c r="K76" s="16">
        <v>405.63</v>
      </c>
      <c r="L76" s="9">
        <v>6895.71</v>
      </c>
    </row>
    <row r="77" spans="1:12" ht="28.5" x14ac:dyDescent="1.4">
      <c r="A77" s="6" t="s">
        <v>111</v>
      </c>
      <c r="B77" s="6" t="s">
        <v>75</v>
      </c>
      <c r="C77" s="6" t="s">
        <v>38</v>
      </c>
      <c r="D77" s="6" t="s">
        <v>169</v>
      </c>
      <c r="E77" s="6" t="s">
        <v>170</v>
      </c>
      <c r="F77" s="7">
        <v>45492</v>
      </c>
      <c r="G77" s="6">
        <f>YEAR(Orders[[#This Row],[Order Date]])</f>
        <v>2024</v>
      </c>
      <c r="H77" s="6" t="str">
        <f>TEXT(Orders[[#This Row],[Order Date]],"mmmm")</f>
        <v>July</v>
      </c>
      <c r="I77" s="6" t="str">
        <f>"Q"&amp;ROUNDUP(MONTH(Orders[[#This Row],[Order Date]])/3,0)</f>
        <v>Q3</v>
      </c>
      <c r="J77" s="14">
        <v>18</v>
      </c>
      <c r="K77" s="16">
        <v>172.41</v>
      </c>
      <c r="L77" s="9">
        <v>3103.38</v>
      </c>
    </row>
    <row r="78" spans="1:12" ht="28.5" x14ac:dyDescent="1.4">
      <c r="A78" s="6" t="s">
        <v>140</v>
      </c>
      <c r="B78" s="6" t="s">
        <v>57</v>
      </c>
      <c r="C78" s="6" t="s">
        <v>141</v>
      </c>
      <c r="D78" s="6" t="s">
        <v>167</v>
      </c>
      <c r="E78" s="6" t="s">
        <v>176</v>
      </c>
      <c r="F78" s="7">
        <v>45605</v>
      </c>
      <c r="G78" s="6">
        <f>YEAR(Orders[[#This Row],[Order Date]])</f>
        <v>2024</v>
      </c>
      <c r="H78" s="6" t="str">
        <f>TEXT(Orders[[#This Row],[Order Date]],"mmmm")</f>
        <v>November</v>
      </c>
      <c r="I78" s="6" t="str">
        <f>"Q"&amp;ROUNDUP(MONTH(Orders[[#This Row],[Order Date]])/3,0)</f>
        <v>Q4</v>
      </c>
      <c r="J78" s="14">
        <v>14</v>
      </c>
      <c r="K78" s="16">
        <v>50.84</v>
      </c>
      <c r="L78" s="9">
        <v>711.76</v>
      </c>
    </row>
    <row r="79" spans="1:12" ht="28.5" x14ac:dyDescent="1.4">
      <c r="A79" s="6" t="s">
        <v>140</v>
      </c>
      <c r="B79" s="6" t="s">
        <v>75</v>
      </c>
      <c r="C79" s="6" t="s">
        <v>97</v>
      </c>
      <c r="D79" s="6" t="s">
        <v>169</v>
      </c>
      <c r="E79" s="6" t="s">
        <v>170</v>
      </c>
      <c r="F79" s="7">
        <v>45352</v>
      </c>
      <c r="G79" s="6">
        <f>YEAR(Orders[[#This Row],[Order Date]])</f>
        <v>2024</v>
      </c>
      <c r="H79" s="6" t="str">
        <f>TEXT(Orders[[#This Row],[Order Date]],"mmmm")</f>
        <v>March</v>
      </c>
      <c r="I79" s="6" t="str">
        <f>"Q"&amp;ROUNDUP(MONTH(Orders[[#This Row],[Order Date]])/3,0)</f>
        <v>Q1</v>
      </c>
      <c r="J79" s="14">
        <v>3</v>
      </c>
      <c r="K79" s="16">
        <v>215.47</v>
      </c>
      <c r="L79" s="9">
        <v>646.41</v>
      </c>
    </row>
    <row r="80" spans="1:12" ht="28.5" x14ac:dyDescent="1.4">
      <c r="A80" s="6" t="s">
        <v>140</v>
      </c>
      <c r="B80" s="6" t="s">
        <v>91</v>
      </c>
      <c r="C80" s="6" t="s">
        <v>32</v>
      </c>
      <c r="D80" s="6" t="s">
        <v>167</v>
      </c>
      <c r="E80" s="6" t="s">
        <v>168</v>
      </c>
      <c r="F80" s="7">
        <v>45531</v>
      </c>
      <c r="G80" s="6">
        <f>YEAR(Orders[[#This Row],[Order Date]])</f>
        <v>2024</v>
      </c>
      <c r="H80" s="6" t="str">
        <f>TEXT(Orders[[#This Row],[Order Date]],"mmmm")</f>
        <v>August</v>
      </c>
      <c r="I80" s="6" t="str">
        <f>"Q"&amp;ROUNDUP(MONTH(Orders[[#This Row],[Order Date]])/3,0)</f>
        <v>Q3</v>
      </c>
      <c r="J80" s="14">
        <v>16</v>
      </c>
      <c r="K80" s="16">
        <v>392.64</v>
      </c>
      <c r="L80" s="9">
        <v>6282.24</v>
      </c>
    </row>
    <row r="81" spans="1:12" ht="28.5" x14ac:dyDescent="1.4">
      <c r="A81" s="6" t="s">
        <v>140</v>
      </c>
      <c r="B81" s="6" t="s">
        <v>75</v>
      </c>
      <c r="C81" s="6" t="s">
        <v>137</v>
      </c>
      <c r="D81" s="6" t="s">
        <v>174</v>
      </c>
      <c r="E81" s="6" t="s">
        <v>175</v>
      </c>
      <c r="F81" s="7">
        <v>45330</v>
      </c>
      <c r="G81" s="6">
        <f>YEAR(Orders[[#This Row],[Order Date]])</f>
        <v>2024</v>
      </c>
      <c r="H81" s="6" t="str">
        <f>TEXT(Orders[[#This Row],[Order Date]],"mmmm")</f>
        <v>February</v>
      </c>
      <c r="I81" s="6" t="str">
        <f>"Q"&amp;ROUNDUP(MONTH(Orders[[#This Row],[Order Date]])/3,0)</f>
        <v>Q1</v>
      </c>
      <c r="J81" s="14">
        <v>36</v>
      </c>
      <c r="K81" s="16">
        <v>389.55</v>
      </c>
      <c r="L81" s="9">
        <v>14023.8</v>
      </c>
    </row>
    <row r="82" spans="1:12" ht="28.5" x14ac:dyDescent="1.4">
      <c r="A82" s="6" t="s">
        <v>140</v>
      </c>
      <c r="B82" s="6" t="s">
        <v>57</v>
      </c>
      <c r="C82" s="6" t="s">
        <v>69</v>
      </c>
      <c r="D82" s="6" t="s">
        <v>174</v>
      </c>
      <c r="E82" s="6" t="s">
        <v>175</v>
      </c>
      <c r="F82" s="7">
        <v>45599</v>
      </c>
      <c r="G82" s="6">
        <f>YEAR(Orders[[#This Row],[Order Date]])</f>
        <v>2024</v>
      </c>
      <c r="H82" s="6" t="str">
        <f>TEXT(Orders[[#This Row],[Order Date]],"mmmm")</f>
        <v>November</v>
      </c>
      <c r="I82" s="6" t="str">
        <f>"Q"&amp;ROUNDUP(MONTH(Orders[[#This Row],[Order Date]])/3,0)</f>
        <v>Q4</v>
      </c>
      <c r="J82" s="14">
        <v>17</v>
      </c>
      <c r="K82" s="16">
        <v>266.49</v>
      </c>
      <c r="L82" s="9">
        <v>4530.33</v>
      </c>
    </row>
    <row r="83" spans="1:12" ht="28.5" x14ac:dyDescent="1.4">
      <c r="A83" s="6" t="s">
        <v>140</v>
      </c>
      <c r="B83" s="6" t="s">
        <v>81</v>
      </c>
      <c r="C83" s="6" t="s">
        <v>65</v>
      </c>
      <c r="D83" s="6" t="s">
        <v>169</v>
      </c>
      <c r="E83" s="6" t="s">
        <v>173</v>
      </c>
      <c r="F83" s="7">
        <v>45492</v>
      </c>
      <c r="G83" s="6">
        <f>YEAR(Orders[[#This Row],[Order Date]])</f>
        <v>2024</v>
      </c>
      <c r="H83" s="6" t="str">
        <f>TEXT(Orders[[#This Row],[Order Date]],"mmmm")</f>
        <v>July</v>
      </c>
      <c r="I83" s="6" t="str">
        <f>"Q"&amp;ROUNDUP(MONTH(Orders[[#This Row],[Order Date]])/3,0)</f>
        <v>Q3</v>
      </c>
      <c r="J83" s="14">
        <v>17</v>
      </c>
      <c r="K83" s="16">
        <v>115.67</v>
      </c>
      <c r="L83" s="9">
        <v>1966.39</v>
      </c>
    </row>
    <row r="84" spans="1:12" ht="28.5" x14ac:dyDescent="1.4">
      <c r="A84" s="6" t="s">
        <v>140</v>
      </c>
      <c r="B84" s="6" t="s">
        <v>57</v>
      </c>
      <c r="C84" s="6" t="s">
        <v>49</v>
      </c>
      <c r="D84" s="6" t="s">
        <v>169</v>
      </c>
      <c r="E84" s="6" t="s">
        <v>170</v>
      </c>
      <c r="F84" s="7">
        <v>45619</v>
      </c>
      <c r="G84" s="6">
        <f>YEAR(Orders[[#This Row],[Order Date]])</f>
        <v>2024</v>
      </c>
      <c r="H84" s="6" t="str">
        <f>TEXT(Orders[[#This Row],[Order Date]],"mmmm")</f>
        <v>November</v>
      </c>
      <c r="I84" s="6" t="str">
        <f>"Q"&amp;ROUNDUP(MONTH(Orders[[#This Row],[Order Date]])/3,0)</f>
        <v>Q4</v>
      </c>
      <c r="J84" s="14">
        <v>16</v>
      </c>
      <c r="K84" s="16">
        <v>240.28</v>
      </c>
      <c r="L84" s="9">
        <v>3844.48</v>
      </c>
    </row>
    <row r="85" spans="1:12" ht="28.5" x14ac:dyDescent="1.4">
      <c r="A85" s="6" t="s">
        <v>140</v>
      </c>
      <c r="B85" s="6" t="s">
        <v>75</v>
      </c>
      <c r="C85" s="6" t="s">
        <v>69</v>
      </c>
      <c r="D85" s="6" t="s">
        <v>169</v>
      </c>
      <c r="E85" s="6" t="s">
        <v>170</v>
      </c>
      <c r="F85" s="7">
        <v>45296</v>
      </c>
      <c r="G85" s="6">
        <f>YEAR(Orders[[#This Row],[Order Date]])</f>
        <v>2024</v>
      </c>
      <c r="H85" s="6" t="str">
        <f>TEXT(Orders[[#This Row],[Order Date]],"mmmm")</f>
        <v>January</v>
      </c>
      <c r="I85" s="6" t="str">
        <f>"Q"&amp;ROUNDUP(MONTH(Orders[[#This Row],[Order Date]])/3,0)</f>
        <v>Q1</v>
      </c>
      <c r="J85" s="14">
        <v>2</v>
      </c>
      <c r="K85" s="16">
        <v>101.09</v>
      </c>
      <c r="L85" s="9">
        <v>202.18</v>
      </c>
    </row>
    <row r="86" spans="1:12" ht="28.5" x14ac:dyDescent="1.4">
      <c r="A86" s="6" t="s">
        <v>140</v>
      </c>
      <c r="B86" s="6" t="s">
        <v>81</v>
      </c>
      <c r="C86" s="6" t="s">
        <v>141</v>
      </c>
      <c r="D86" s="6" t="s">
        <v>174</v>
      </c>
      <c r="E86" s="6" t="s">
        <v>175</v>
      </c>
      <c r="F86" s="7">
        <v>45406</v>
      </c>
      <c r="G86" s="6">
        <f>YEAR(Orders[[#This Row],[Order Date]])</f>
        <v>2024</v>
      </c>
      <c r="H86" s="6" t="str">
        <f>TEXT(Orders[[#This Row],[Order Date]],"mmmm")</f>
        <v>April</v>
      </c>
      <c r="I86" s="6" t="str">
        <f>"Q"&amp;ROUNDUP(MONTH(Orders[[#This Row],[Order Date]])/3,0)</f>
        <v>Q2</v>
      </c>
      <c r="J86" s="14">
        <v>32</v>
      </c>
      <c r="K86" s="16">
        <v>21.88</v>
      </c>
      <c r="L86" s="9">
        <v>700.16</v>
      </c>
    </row>
    <row r="87" spans="1:12" ht="28.5" x14ac:dyDescent="1.4">
      <c r="A87" s="6" t="s">
        <v>140</v>
      </c>
      <c r="B87" s="6" t="s">
        <v>27</v>
      </c>
      <c r="C87" s="6" t="s">
        <v>177</v>
      </c>
      <c r="D87" s="6" t="s">
        <v>167</v>
      </c>
      <c r="E87" s="6" t="s">
        <v>176</v>
      </c>
      <c r="F87" s="7">
        <v>45648</v>
      </c>
      <c r="G87" s="6">
        <f>YEAR(Orders[[#This Row],[Order Date]])</f>
        <v>2024</v>
      </c>
      <c r="H87" s="6" t="str">
        <f>TEXT(Orders[[#This Row],[Order Date]],"mmmm")</f>
        <v>December</v>
      </c>
      <c r="I87" s="6" t="str">
        <f>"Q"&amp;ROUNDUP(MONTH(Orders[[#This Row],[Order Date]])/3,0)</f>
        <v>Q4</v>
      </c>
      <c r="J87" s="14">
        <v>33</v>
      </c>
      <c r="K87" s="16">
        <v>38.380000000000003</v>
      </c>
      <c r="L87" s="9">
        <v>1266.54</v>
      </c>
    </row>
    <row r="88" spans="1:12" ht="28.5" x14ac:dyDescent="1.4">
      <c r="A88" s="6" t="s">
        <v>140</v>
      </c>
      <c r="B88" s="6" t="s">
        <v>91</v>
      </c>
      <c r="C88" s="6" t="s">
        <v>141</v>
      </c>
      <c r="D88" s="6" t="s">
        <v>167</v>
      </c>
      <c r="E88" s="6" t="s">
        <v>176</v>
      </c>
      <c r="F88" s="7">
        <v>45433</v>
      </c>
      <c r="G88" s="6">
        <f>YEAR(Orders[[#This Row],[Order Date]])</f>
        <v>2024</v>
      </c>
      <c r="H88" s="6" t="str">
        <f>TEXT(Orders[[#This Row],[Order Date]],"mmmm")</f>
        <v>May</v>
      </c>
      <c r="I88" s="6" t="str">
        <f>"Q"&amp;ROUNDUP(MONTH(Orders[[#This Row],[Order Date]])/3,0)</f>
        <v>Q2</v>
      </c>
      <c r="J88" s="14">
        <v>7</v>
      </c>
      <c r="K88" s="16">
        <v>476.2</v>
      </c>
      <c r="L88" s="9">
        <v>3333.4</v>
      </c>
    </row>
    <row r="89" spans="1:12" ht="28.5" x14ac:dyDescent="1.4">
      <c r="A89" s="6" t="s">
        <v>140</v>
      </c>
      <c r="B89" s="6" t="s">
        <v>91</v>
      </c>
      <c r="C89" s="6" t="s">
        <v>137</v>
      </c>
      <c r="D89" s="6" t="s">
        <v>169</v>
      </c>
      <c r="E89" s="6" t="s">
        <v>170</v>
      </c>
      <c r="F89" s="7">
        <v>45579</v>
      </c>
      <c r="G89" s="6">
        <f>YEAR(Orders[[#This Row],[Order Date]])</f>
        <v>2024</v>
      </c>
      <c r="H89" s="6" t="str">
        <f>TEXT(Orders[[#This Row],[Order Date]],"mmmm")</f>
        <v>October</v>
      </c>
      <c r="I89" s="6" t="str">
        <f>"Q"&amp;ROUNDUP(MONTH(Orders[[#This Row],[Order Date]])/3,0)</f>
        <v>Q4</v>
      </c>
      <c r="J89" s="14">
        <v>10</v>
      </c>
      <c r="K89" s="16">
        <v>461.35</v>
      </c>
      <c r="L89" s="9">
        <v>4613.5</v>
      </c>
    </row>
    <row r="90" spans="1:12" ht="28.5" x14ac:dyDescent="1.4">
      <c r="A90" s="6" t="s">
        <v>140</v>
      </c>
      <c r="B90" s="6" t="s">
        <v>57</v>
      </c>
      <c r="C90" s="6" t="s">
        <v>41</v>
      </c>
      <c r="D90" s="6" t="s">
        <v>169</v>
      </c>
      <c r="E90" s="6" t="s">
        <v>170</v>
      </c>
      <c r="F90" s="7">
        <v>45365</v>
      </c>
      <c r="G90" s="6">
        <f>YEAR(Orders[[#This Row],[Order Date]])</f>
        <v>2024</v>
      </c>
      <c r="H90" s="6" t="str">
        <f>TEXT(Orders[[#This Row],[Order Date]],"mmmm")</f>
        <v>March</v>
      </c>
      <c r="I90" s="6" t="str">
        <f>"Q"&amp;ROUNDUP(MONTH(Orders[[#This Row],[Order Date]])/3,0)</f>
        <v>Q1</v>
      </c>
      <c r="J90" s="14">
        <v>26</v>
      </c>
      <c r="K90" s="16">
        <v>227.57</v>
      </c>
      <c r="L90" s="9">
        <v>5916.82</v>
      </c>
    </row>
    <row r="91" spans="1:12" ht="28.5" x14ac:dyDescent="1.4">
      <c r="A91" s="6" t="s">
        <v>140</v>
      </c>
      <c r="B91" s="6" t="s">
        <v>27</v>
      </c>
      <c r="C91" s="6" t="s">
        <v>65</v>
      </c>
      <c r="D91" s="6" t="s">
        <v>169</v>
      </c>
      <c r="E91" s="6" t="s">
        <v>173</v>
      </c>
      <c r="F91" s="7">
        <v>45318</v>
      </c>
      <c r="G91" s="6">
        <f>YEAR(Orders[[#This Row],[Order Date]])</f>
        <v>2024</v>
      </c>
      <c r="H91" s="6" t="str">
        <f>TEXT(Orders[[#This Row],[Order Date]],"mmmm")</f>
        <v>January</v>
      </c>
      <c r="I91" s="6" t="str">
        <f>"Q"&amp;ROUNDUP(MONTH(Orders[[#This Row],[Order Date]])/3,0)</f>
        <v>Q1</v>
      </c>
      <c r="J91" s="14">
        <v>20</v>
      </c>
      <c r="K91" s="16">
        <v>333.89</v>
      </c>
      <c r="L91" s="9">
        <v>6677.8</v>
      </c>
    </row>
    <row r="92" spans="1:12" ht="28.5" x14ac:dyDescent="1.4">
      <c r="A92" s="6" t="s">
        <v>140</v>
      </c>
      <c r="B92" s="6" t="s">
        <v>81</v>
      </c>
      <c r="C92" s="6" t="s">
        <v>177</v>
      </c>
      <c r="D92" s="6" t="s">
        <v>167</v>
      </c>
      <c r="E92" s="6" t="s">
        <v>176</v>
      </c>
      <c r="F92" s="7">
        <v>45427</v>
      </c>
      <c r="G92" s="6">
        <f>YEAR(Orders[[#This Row],[Order Date]])</f>
        <v>2024</v>
      </c>
      <c r="H92" s="6" t="str">
        <f>TEXT(Orders[[#This Row],[Order Date]],"mmmm")</f>
        <v>May</v>
      </c>
      <c r="I92" s="6" t="str">
        <f>"Q"&amp;ROUNDUP(MONTH(Orders[[#This Row],[Order Date]])/3,0)</f>
        <v>Q2</v>
      </c>
      <c r="J92" s="14">
        <v>6</v>
      </c>
      <c r="K92" s="16">
        <v>178.98</v>
      </c>
      <c r="L92" s="9">
        <v>1073.8800000000001</v>
      </c>
    </row>
    <row r="93" spans="1:12" ht="28.5" x14ac:dyDescent="1.4">
      <c r="A93" s="6" t="s">
        <v>140</v>
      </c>
      <c r="B93" s="6" t="s">
        <v>77</v>
      </c>
      <c r="C93" s="6" t="s">
        <v>69</v>
      </c>
      <c r="D93" s="6" t="s">
        <v>169</v>
      </c>
      <c r="E93" s="6" t="s">
        <v>173</v>
      </c>
      <c r="F93" s="7">
        <v>45478</v>
      </c>
      <c r="G93" s="6">
        <f>YEAR(Orders[[#This Row],[Order Date]])</f>
        <v>2024</v>
      </c>
      <c r="H93" s="6" t="str">
        <f>TEXT(Orders[[#This Row],[Order Date]],"mmmm")</f>
        <v>July</v>
      </c>
      <c r="I93" s="6" t="str">
        <f>"Q"&amp;ROUNDUP(MONTH(Orders[[#This Row],[Order Date]])/3,0)</f>
        <v>Q3</v>
      </c>
      <c r="J93" s="14">
        <v>6</v>
      </c>
      <c r="K93" s="16">
        <v>29.38</v>
      </c>
      <c r="L93" s="9">
        <v>176.28</v>
      </c>
    </row>
    <row r="94" spans="1:12" ht="28.5" x14ac:dyDescent="1.4">
      <c r="A94" s="6" t="s">
        <v>140</v>
      </c>
      <c r="B94" s="6" t="s">
        <v>91</v>
      </c>
      <c r="C94" s="6" t="s">
        <v>177</v>
      </c>
      <c r="D94" s="6" t="s">
        <v>167</v>
      </c>
      <c r="E94" s="6" t="s">
        <v>176</v>
      </c>
      <c r="F94" s="7">
        <v>45319</v>
      </c>
      <c r="G94" s="6">
        <f>YEAR(Orders[[#This Row],[Order Date]])</f>
        <v>2024</v>
      </c>
      <c r="H94" s="6" t="str">
        <f>TEXT(Orders[[#This Row],[Order Date]],"mmmm")</f>
        <v>January</v>
      </c>
      <c r="I94" s="6" t="str">
        <f>"Q"&amp;ROUNDUP(MONTH(Orders[[#This Row],[Order Date]])/3,0)</f>
        <v>Q1</v>
      </c>
      <c r="J94" s="14">
        <v>27</v>
      </c>
      <c r="K94" s="16">
        <v>127.77</v>
      </c>
      <c r="L94" s="9">
        <v>3449.79</v>
      </c>
    </row>
    <row r="95" spans="1:12" ht="28.5" x14ac:dyDescent="1.4">
      <c r="A95" s="6" t="s">
        <v>140</v>
      </c>
      <c r="B95" s="6" t="s">
        <v>81</v>
      </c>
      <c r="C95" s="6" t="s">
        <v>97</v>
      </c>
      <c r="D95" s="6" t="s">
        <v>169</v>
      </c>
      <c r="E95" s="6" t="s">
        <v>170</v>
      </c>
      <c r="F95" s="7">
        <v>45426</v>
      </c>
      <c r="G95" s="6">
        <f>YEAR(Orders[[#This Row],[Order Date]])</f>
        <v>2024</v>
      </c>
      <c r="H95" s="6" t="str">
        <f>TEXT(Orders[[#This Row],[Order Date]],"mmmm")</f>
        <v>May</v>
      </c>
      <c r="I95" s="6" t="str">
        <f>"Q"&amp;ROUNDUP(MONTH(Orders[[#This Row],[Order Date]])/3,0)</f>
        <v>Q2</v>
      </c>
      <c r="J95" s="14">
        <v>13</v>
      </c>
      <c r="K95" s="16">
        <v>374.91</v>
      </c>
      <c r="L95" s="9">
        <v>4873.83</v>
      </c>
    </row>
    <row r="96" spans="1:12" ht="28.5" x14ac:dyDescent="1.4">
      <c r="A96" s="6" t="s">
        <v>140</v>
      </c>
      <c r="B96" s="6" t="s">
        <v>27</v>
      </c>
      <c r="C96" s="6" t="s">
        <v>141</v>
      </c>
      <c r="D96" s="6" t="s">
        <v>171</v>
      </c>
      <c r="E96" s="6" t="s">
        <v>172</v>
      </c>
      <c r="F96" s="7">
        <v>45435</v>
      </c>
      <c r="G96" s="6">
        <f>YEAR(Orders[[#This Row],[Order Date]])</f>
        <v>2024</v>
      </c>
      <c r="H96" s="6" t="str">
        <f>TEXT(Orders[[#This Row],[Order Date]],"mmmm")</f>
        <v>May</v>
      </c>
      <c r="I96" s="6" t="str">
        <f>"Q"&amp;ROUNDUP(MONTH(Orders[[#This Row],[Order Date]])/3,0)</f>
        <v>Q2</v>
      </c>
      <c r="J96" s="14">
        <v>20</v>
      </c>
      <c r="K96" s="16">
        <v>6.87</v>
      </c>
      <c r="L96" s="9">
        <v>137.4</v>
      </c>
    </row>
    <row r="97" spans="1:12" ht="28.5" x14ac:dyDescent="1.4">
      <c r="A97" s="6" t="s">
        <v>140</v>
      </c>
      <c r="B97" s="6" t="s">
        <v>77</v>
      </c>
      <c r="C97" s="6" t="s">
        <v>69</v>
      </c>
      <c r="D97" s="6" t="s">
        <v>169</v>
      </c>
      <c r="E97" s="6" t="s">
        <v>170</v>
      </c>
      <c r="F97" s="7">
        <v>45481</v>
      </c>
      <c r="G97" s="6">
        <f>YEAR(Orders[[#This Row],[Order Date]])</f>
        <v>2024</v>
      </c>
      <c r="H97" s="6" t="str">
        <f>TEXT(Orders[[#This Row],[Order Date]],"mmmm")</f>
        <v>July</v>
      </c>
      <c r="I97" s="6" t="str">
        <f>"Q"&amp;ROUNDUP(MONTH(Orders[[#This Row],[Order Date]])/3,0)</f>
        <v>Q3</v>
      </c>
      <c r="J97" s="14">
        <v>17</v>
      </c>
      <c r="K97" s="16">
        <v>457.2</v>
      </c>
      <c r="L97" s="9">
        <v>7772.4</v>
      </c>
    </row>
    <row r="98" spans="1:12" ht="28.5" x14ac:dyDescent="1.4">
      <c r="A98" s="6" t="s">
        <v>140</v>
      </c>
      <c r="B98" s="6" t="s">
        <v>91</v>
      </c>
      <c r="C98" s="6" t="s">
        <v>32</v>
      </c>
      <c r="D98" s="6" t="s">
        <v>167</v>
      </c>
      <c r="E98" s="6" t="s">
        <v>168</v>
      </c>
      <c r="F98" s="7">
        <v>45424</v>
      </c>
      <c r="G98" s="6">
        <f>YEAR(Orders[[#This Row],[Order Date]])</f>
        <v>2024</v>
      </c>
      <c r="H98" s="6" t="str">
        <f>TEXT(Orders[[#This Row],[Order Date]],"mmmm")</f>
        <v>May</v>
      </c>
      <c r="I98" s="6" t="str">
        <f>"Q"&amp;ROUNDUP(MONTH(Orders[[#This Row],[Order Date]])/3,0)</f>
        <v>Q2</v>
      </c>
      <c r="J98" s="14">
        <v>10</v>
      </c>
      <c r="K98" s="16">
        <v>305.58999999999997</v>
      </c>
      <c r="L98" s="9">
        <v>3055.9</v>
      </c>
    </row>
    <row r="99" spans="1:12" ht="28.5" x14ac:dyDescent="1.4">
      <c r="A99" s="6" t="s">
        <v>140</v>
      </c>
      <c r="B99" s="6" t="s">
        <v>27</v>
      </c>
      <c r="C99" s="6" t="s">
        <v>32</v>
      </c>
      <c r="D99" s="6" t="s">
        <v>171</v>
      </c>
      <c r="E99" s="6" t="s">
        <v>172</v>
      </c>
      <c r="F99" s="7">
        <v>45492</v>
      </c>
      <c r="G99" s="6">
        <f>YEAR(Orders[[#This Row],[Order Date]])</f>
        <v>2024</v>
      </c>
      <c r="H99" s="6" t="str">
        <f>TEXT(Orders[[#This Row],[Order Date]],"mmmm")</f>
        <v>July</v>
      </c>
      <c r="I99" s="6" t="str">
        <f>"Q"&amp;ROUNDUP(MONTH(Orders[[#This Row],[Order Date]])/3,0)</f>
        <v>Q3</v>
      </c>
      <c r="J99" s="14">
        <v>11</v>
      </c>
      <c r="K99" s="16">
        <v>127.42</v>
      </c>
      <c r="L99" s="9">
        <v>1401.62</v>
      </c>
    </row>
    <row r="100" spans="1:12" ht="28.5" x14ac:dyDescent="1.4">
      <c r="A100" s="6" t="s">
        <v>140</v>
      </c>
      <c r="B100" s="6" t="s">
        <v>77</v>
      </c>
      <c r="C100" s="6" t="s">
        <v>32</v>
      </c>
      <c r="D100" s="6" t="s">
        <v>167</v>
      </c>
      <c r="E100" s="6" t="s">
        <v>176</v>
      </c>
      <c r="F100" s="7">
        <v>45324</v>
      </c>
      <c r="G100" s="6">
        <f>YEAR(Orders[[#This Row],[Order Date]])</f>
        <v>2024</v>
      </c>
      <c r="H100" s="6" t="str">
        <f>TEXT(Orders[[#This Row],[Order Date]],"mmmm")</f>
        <v>February</v>
      </c>
      <c r="I100" s="6" t="str">
        <f>"Q"&amp;ROUNDUP(MONTH(Orders[[#This Row],[Order Date]])/3,0)</f>
        <v>Q1</v>
      </c>
      <c r="J100" s="14">
        <v>17</v>
      </c>
      <c r="K100" s="16">
        <v>314.18</v>
      </c>
      <c r="L100" s="9">
        <v>5341.06</v>
      </c>
    </row>
    <row r="101" spans="1:12" ht="28.5" x14ac:dyDescent="1.4">
      <c r="A101" s="6" t="s">
        <v>140</v>
      </c>
      <c r="B101" s="6" t="s">
        <v>75</v>
      </c>
      <c r="C101" s="6" t="s">
        <v>97</v>
      </c>
      <c r="D101" s="6" t="s">
        <v>174</v>
      </c>
      <c r="E101" s="6" t="s">
        <v>175</v>
      </c>
      <c r="F101" s="7">
        <v>45385</v>
      </c>
      <c r="G101" s="6">
        <f>YEAR(Orders[[#This Row],[Order Date]])</f>
        <v>2024</v>
      </c>
      <c r="H101" s="6" t="str">
        <f>TEXT(Orders[[#This Row],[Order Date]],"mmmm")</f>
        <v>April</v>
      </c>
      <c r="I101" s="6" t="str">
        <f>"Q"&amp;ROUNDUP(MONTH(Orders[[#This Row],[Order Date]])/3,0)</f>
        <v>Q2</v>
      </c>
      <c r="J101" s="14">
        <v>9</v>
      </c>
      <c r="K101" s="16">
        <v>211.34</v>
      </c>
      <c r="L101" s="9">
        <v>1902.06</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03"/>
  <sheetViews>
    <sheetView workbookViewId="0">
      <selection activeCell="C12" sqref="C12"/>
    </sheetView>
  </sheetViews>
  <sheetFormatPr defaultRowHeight="14.4" x14ac:dyDescent="0.55000000000000004"/>
  <cols>
    <col min="1" max="2" width="16" customWidth="1"/>
    <col min="3" max="4" width="24" customWidth="1"/>
    <col min="5" max="5" width="14" customWidth="1"/>
    <col min="6" max="6" width="11" customWidth="1"/>
    <col min="7" max="7" width="12" customWidth="1"/>
  </cols>
  <sheetData>
    <row r="1" spans="1:7" ht="15.3" x14ac:dyDescent="0.55000000000000004">
      <c r="A1" s="1" t="s">
        <v>0</v>
      </c>
      <c r="B1" s="2"/>
      <c r="C1" s="2"/>
      <c r="D1" s="2"/>
      <c r="E1" s="2"/>
      <c r="F1" s="2"/>
      <c r="G1" s="2"/>
    </row>
    <row r="2" spans="1:7" x14ac:dyDescent="0.55000000000000004">
      <c r="A2" s="3" t="s">
        <v>1</v>
      </c>
      <c r="B2" s="2"/>
      <c r="C2" s="2"/>
      <c r="D2" s="2"/>
      <c r="E2" s="2"/>
      <c r="F2" s="2"/>
      <c r="G2" s="2"/>
    </row>
    <row r="3" spans="1:7" x14ac:dyDescent="0.55000000000000004">
      <c r="A3" s="2" t="s">
        <v>2</v>
      </c>
      <c r="B3" s="2" t="s">
        <v>3</v>
      </c>
      <c r="C3" s="2" t="s">
        <v>4</v>
      </c>
      <c r="D3" s="2" t="s">
        <v>5</v>
      </c>
      <c r="E3" s="2" t="s">
        <v>6</v>
      </c>
      <c r="F3" s="2" t="s">
        <v>7</v>
      </c>
      <c r="G3" s="2" t="s">
        <v>8</v>
      </c>
    </row>
    <row r="4" spans="1:7" x14ac:dyDescent="0.55000000000000004">
      <c r="A4" s="2" t="s">
        <v>9</v>
      </c>
      <c r="B4" s="2" t="s">
        <v>10</v>
      </c>
      <c r="C4" s="2" t="s">
        <v>11</v>
      </c>
      <c r="D4" s="2" t="s">
        <v>12</v>
      </c>
      <c r="E4" s="4" t="s">
        <v>13</v>
      </c>
      <c r="F4" s="2">
        <v>38</v>
      </c>
      <c r="G4" s="2">
        <v>33.71</v>
      </c>
    </row>
    <row r="5" spans="1:7" x14ac:dyDescent="0.55000000000000004">
      <c r="A5" s="2"/>
      <c r="B5" s="2" t="s">
        <v>14</v>
      </c>
      <c r="C5" s="2" t="s">
        <v>15</v>
      </c>
      <c r="D5" s="2" t="s">
        <v>16</v>
      </c>
      <c r="E5" s="4" t="s">
        <v>17</v>
      </c>
      <c r="F5" s="2">
        <v>28</v>
      </c>
      <c r="G5" s="2">
        <v>34.26</v>
      </c>
    </row>
    <row r="6" spans="1:7" x14ac:dyDescent="0.55000000000000004">
      <c r="A6" s="2"/>
      <c r="B6" s="2" t="s">
        <v>18</v>
      </c>
      <c r="C6" s="2" t="s">
        <v>19</v>
      </c>
      <c r="D6" s="2" t="s">
        <v>20</v>
      </c>
      <c r="E6" s="4" t="s">
        <v>21</v>
      </c>
      <c r="F6" s="2">
        <v>3</v>
      </c>
      <c r="G6" s="2">
        <v>280.55</v>
      </c>
    </row>
    <row r="7" spans="1:7" x14ac:dyDescent="0.55000000000000004">
      <c r="A7" s="2"/>
      <c r="B7" s="2" t="s">
        <v>22</v>
      </c>
      <c r="C7" s="2" t="s">
        <v>23</v>
      </c>
      <c r="D7" s="2" t="s">
        <v>20</v>
      </c>
      <c r="E7" s="4" t="s">
        <v>24</v>
      </c>
      <c r="F7" s="2">
        <v>12</v>
      </c>
      <c r="G7" s="2">
        <v>56.01</v>
      </c>
    </row>
    <row r="8" spans="1:7" x14ac:dyDescent="0.55000000000000004">
      <c r="A8" s="2"/>
      <c r="B8" s="2" t="s">
        <v>25</v>
      </c>
      <c r="C8" s="2" t="s">
        <v>15</v>
      </c>
      <c r="D8" s="2" t="s">
        <v>20</v>
      </c>
      <c r="E8" s="4" t="s">
        <v>26</v>
      </c>
      <c r="F8" s="2">
        <v>35</v>
      </c>
      <c r="G8" s="2">
        <v>216.66</v>
      </c>
    </row>
    <row r="9" spans="1:7" x14ac:dyDescent="0.55000000000000004">
      <c r="A9" s="2"/>
      <c r="B9" s="2" t="s">
        <v>27</v>
      </c>
      <c r="C9" s="2" t="s">
        <v>28</v>
      </c>
      <c r="D9" s="2" t="s">
        <v>29</v>
      </c>
      <c r="E9" s="4" t="s">
        <v>30</v>
      </c>
      <c r="F9" s="2">
        <v>16</v>
      </c>
      <c r="G9" s="2">
        <v>45.52</v>
      </c>
    </row>
    <row r="10" spans="1:7" x14ac:dyDescent="0.55000000000000004">
      <c r="A10" s="2"/>
      <c r="B10" s="2" t="s">
        <v>31</v>
      </c>
      <c r="C10" s="2" t="s">
        <v>32</v>
      </c>
      <c r="D10" s="2" t="s">
        <v>33</v>
      </c>
      <c r="E10" s="4" t="s">
        <v>34</v>
      </c>
      <c r="F10" s="2">
        <v>33</v>
      </c>
      <c r="G10" s="2">
        <v>211.97</v>
      </c>
    </row>
    <row r="11" spans="1:7" x14ac:dyDescent="0.55000000000000004">
      <c r="A11" s="2"/>
      <c r="B11" s="2" t="s">
        <v>10</v>
      </c>
      <c r="C11" s="2" t="s">
        <v>35</v>
      </c>
      <c r="D11" s="2" t="s">
        <v>12</v>
      </c>
      <c r="E11" s="4" t="s">
        <v>36</v>
      </c>
      <c r="F11" s="2">
        <v>37</v>
      </c>
      <c r="G11" s="2">
        <v>395.6</v>
      </c>
    </row>
    <row r="12" spans="1:7" x14ac:dyDescent="0.55000000000000004">
      <c r="A12" s="2"/>
      <c r="B12" s="2" t="s">
        <v>37</v>
      </c>
      <c r="C12" s="2" t="s">
        <v>38</v>
      </c>
      <c r="D12" s="2" t="s">
        <v>20</v>
      </c>
      <c r="E12" s="4" t="s">
        <v>39</v>
      </c>
      <c r="F12" s="2">
        <v>6</v>
      </c>
      <c r="G12" s="2">
        <v>472.62</v>
      </c>
    </row>
    <row r="13" spans="1:7" x14ac:dyDescent="0.55000000000000004">
      <c r="A13" s="2"/>
      <c r="B13" s="2" t="s">
        <v>40</v>
      </c>
      <c r="C13" s="2" t="s">
        <v>41</v>
      </c>
      <c r="D13" s="2" t="s">
        <v>33</v>
      </c>
      <c r="E13" s="4" t="s">
        <v>42</v>
      </c>
      <c r="F13" s="2">
        <v>25</v>
      </c>
      <c r="G13" s="2">
        <v>444.08</v>
      </c>
    </row>
    <row r="14" spans="1:7" x14ac:dyDescent="0.55000000000000004">
      <c r="A14" s="2"/>
      <c r="B14" s="2" t="s">
        <v>43</v>
      </c>
      <c r="C14" s="2" t="s">
        <v>32</v>
      </c>
      <c r="D14" s="2" t="s">
        <v>44</v>
      </c>
      <c r="E14" s="4" t="s">
        <v>45</v>
      </c>
      <c r="F14" s="2">
        <v>14</v>
      </c>
      <c r="G14" s="2">
        <v>385.28</v>
      </c>
    </row>
    <row r="15" spans="1:7" x14ac:dyDescent="0.55000000000000004">
      <c r="A15" s="2"/>
      <c r="B15" s="2" t="s">
        <v>46</v>
      </c>
      <c r="C15" s="2" t="s">
        <v>11</v>
      </c>
      <c r="D15" s="2" t="s">
        <v>16</v>
      </c>
      <c r="E15" s="4" t="s">
        <v>47</v>
      </c>
      <c r="F15" s="2">
        <v>36</v>
      </c>
      <c r="G15" s="2">
        <v>142.53</v>
      </c>
    </row>
    <row r="16" spans="1:7" x14ac:dyDescent="0.55000000000000004">
      <c r="A16" s="2"/>
      <c r="B16" s="2" t="s">
        <v>48</v>
      </c>
      <c r="C16" s="2" t="s">
        <v>49</v>
      </c>
      <c r="D16" s="2" t="s">
        <v>33</v>
      </c>
      <c r="E16" s="4" t="s">
        <v>50</v>
      </c>
      <c r="F16" s="2">
        <v>25</v>
      </c>
      <c r="G16" s="2">
        <v>479.08</v>
      </c>
    </row>
    <row r="17" spans="1:7" x14ac:dyDescent="0.55000000000000004">
      <c r="A17" s="2"/>
      <c r="B17" s="2" t="s">
        <v>51</v>
      </c>
      <c r="C17" s="2" t="s">
        <v>52</v>
      </c>
      <c r="D17" s="2" t="s">
        <v>44</v>
      </c>
      <c r="E17" s="4" t="s">
        <v>53</v>
      </c>
      <c r="F17" s="2">
        <v>38</v>
      </c>
      <c r="G17" s="2">
        <v>95.26</v>
      </c>
    </row>
    <row r="18" spans="1:7" x14ac:dyDescent="0.55000000000000004">
      <c r="A18" s="2"/>
      <c r="B18" s="2" t="s">
        <v>54</v>
      </c>
      <c r="C18" s="2" t="s">
        <v>55</v>
      </c>
      <c r="D18" s="2" t="s">
        <v>20</v>
      </c>
      <c r="E18" s="4" t="s">
        <v>56</v>
      </c>
      <c r="F18" s="2">
        <v>33</v>
      </c>
      <c r="G18" s="2">
        <v>475.36</v>
      </c>
    </row>
    <row r="19" spans="1:7" x14ac:dyDescent="0.55000000000000004">
      <c r="A19" s="2"/>
      <c r="B19" s="2" t="s">
        <v>57</v>
      </c>
      <c r="C19" s="2" t="s">
        <v>19</v>
      </c>
      <c r="D19" s="2" t="s">
        <v>16</v>
      </c>
      <c r="E19" s="4" t="s">
        <v>58</v>
      </c>
      <c r="F19" s="2">
        <v>26</v>
      </c>
      <c r="G19" s="2">
        <v>35.81</v>
      </c>
    </row>
    <row r="20" spans="1:7" x14ac:dyDescent="0.55000000000000004">
      <c r="A20" s="2"/>
      <c r="B20" s="2" t="s">
        <v>18</v>
      </c>
      <c r="C20" s="2" t="s">
        <v>59</v>
      </c>
      <c r="D20" s="2" t="s">
        <v>12</v>
      </c>
      <c r="E20" s="4" t="s">
        <v>60</v>
      </c>
      <c r="F20" s="2">
        <v>1</v>
      </c>
      <c r="G20" s="2">
        <v>285.56</v>
      </c>
    </row>
    <row r="21" spans="1:7" x14ac:dyDescent="0.55000000000000004">
      <c r="A21" s="2"/>
      <c r="B21" s="2" t="s">
        <v>61</v>
      </c>
      <c r="C21" s="2" t="s">
        <v>28</v>
      </c>
      <c r="D21" s="2" t="s">
        <v>12</v>
      </c>
      <c r="E21" s="4" t="s">
        <v>62</v>
      </c>
      <c r="F21" s="2">
        <v>10</v>
      </c>
      <c r="G21" s="2">
        <v>319.02999999999997</v>
      </c>
    </row>
    <row r="22" spans="1:7" x14ac:dyDescent="0.55000000000000004">
      <c r="A22" s="2"/>
      <c r="B22" s="2" t="s">
        <v>27</v>
      </c>
      <c r="C22" s="2" t="s">
        <v>63</v>
      </c>
      <c r="D22" s="2" t="s">
        <v>12</v>
      </c>
      <c r="E22" s="4" t="s">
        <v>64</v>
      </c>
      <c r="F22" s="2">
        <v>31</v>
      </c>
      <c r="G22" s="2">
        <v>244.5</v>
      </c>
    </row>
    <row r="23" spans="1:7" x14ac:dyDescent="0.55000000000000004">
      <c r="A23" s="2"/>
      <c r="B23" s="2" t="s">
        <v>18</v>
      </c>
      <c r="C23" s="2" t="s">
        <v>65</v>
      </c>
      <c r="D23" s="2" t="s">
        <v>33</v>
      </c>
      <c r="E23" s="4" t="s">
        <v>66</v>
      </c>
      <c r="F23" s="2">
        <v>2</v>
      </c>
      <c r="G23" s="2">
        <v>106.58</v>
      </c>
    </row>
    <row r="24" spans="1:7" x14ac:dyDescent="0.55000000000000004">
      <c r="A24" s="2"/>
      <c r="B24" s="2" t="s">
        <v>10</v>
      </c>
      <c r="C24" s="2" t="s">
        <v>67</v>
      </c>
      <c r="D24" s="2" t="s">
        <v>20</v>
      </c>
      <c r="E24" s="4" t="s">
        <v>68</v>
      </c>
      <c r="F24" s="2">
        <v>17</v>
      </c>
      <c r="G24" s="2">
        <v>261.61</v>
      </c>
    </row>
    <row r="25" spans="1:7" x14ac:dyDescent="0.55000000000000004">
      <c r="A25" s="2"/>
      <c r="B25" s="2" t="s">
        <v>22</v>
      </c>
      <c r="C25" s="2" t="s">
        <v>69</v>
      </c>
      <c r="D25" s="2" t="s">
        <v>33</v>
      </c>
      <c r="E25" s="4" t="s">
        <v>70</v>
      </c>
      <c r="F25" s="2">
        <v>26</v>
      </c>
      <c r="G25" s="2">
        <v>371.24</v>
      </c>
    </row>
    <row r="26" spans="1:7" x14ac:dyDescent="0.55000000000000004">
      <c r="A26" s="2"/>
      <c r="B26" s="2" t="s">
        <v>71</v>
      </c>
      <c r="C26" s="2" t="s">
        <v>72</v>
      </c>
      <c r="D26" s="2" t="s">
        <v>29</v>
      </c>
      <c r="E26" s="4" t="s">
        <v>73</v>
      </c>
      <c r="F26" s="2">
        <v>31</v>
      </c>
      <c r="G26" s="2">
        <v>133.29</v>
      </c>
    </row>
    <row r="27" spans="1:7" x14ac:dyDescent="0.55000000000000004">
      <c r="A27" s="2"/>
      <c r="B27" s="2" t="s">
        <v>27</v>
      </c>
      <c r="C27" s="2" t="s">
        <v>38</v>
      </c>
      <c r="D27" s="2" t="s">
        <v>29</v>
      </c>
      <c r="E27" s="4" t="s">
        <v>74</v>
      </c>
      <c r="F27" s="2">
        <v>31</v>
      </c>
      <c r="G27" s="2">
        <v>102.37</v>
      </c>
    </row>
    <row r="28" spans="1:7" x14ac:dyDescent="0.55000000000000004">
      <c r="A28" s="2"/>
      <c r="B28" s="2" t="s">
        <v>75</v>
      </c>
      <c r="C28" s="2" t="s">
        <v>28</v>
      </c>
      <c r="D28" s="2" t="s">
        <v>16</v>
      </c>
      <c r="E28" s="4" t="s">
        <v>76</v>
      </c>
      <c r="F28" s="2">
        <v>6</v>
      </c>
      <c r="G28" s="2">
        <v>418.15</v>
      </c>
    </row>
    <row r="29" spans="1:7" x14ac:dyDescent="0.55000000000000004">
      <c r="A29" s="2"/>
      <c r="B29" s="2" t="s">
        <v>77</v>
      </c>
      <c r="C29" s="2" t="s">
        <v>78</v>
      </c>
      <c r="D29" s="2" t="s">
        <v>16</v>
      </c>
      <c r="E29" s="4" t="s">
        <v>79</v>
      </c>
      <c r="F29" s="2">
        <v>22</v>
      </c>
      <c r="G29" s="2">
        <v>47.94</v>
      </c>
    </row>
    <row r="30" spans="1:7" x14ac:dyDescent="0.55000000000000004">
      <c r="A30" s="2" t="s">
        <v>80</v>
      </c>
      <c r="B30" s="2" t="s">
        <v>81</v>
      </c>
      <c r="C30" s="2" t="s">
        <v>11</v>
      </c>
      <c r="D30" s="2" t="s">
        <v>33</v>
      </c>
      <c r="E30" s="4" t="s">
        <v>82</v>
      </c>
      <c r="F30" s="2">
        <v>10</v>
      </c>
      <c r="G30" s="2">
        <v>297.45</v>
      </c>
    </row>
    <row r="31" spans="1:7" x14ac:dyDescent="0.55000000000000004">
      <c r="A31" s="2"/>
      <c r="B31" s="2" t="s">
        <v>83</v>
      </c>
      <c r="C31" s="2" t="s">
        <v>28</v>
      </c>
      <c r="D31" s="2" t="s">
        <v>33</v>
      </c>
      <c r="E31" s="4" t="s">
        <v>84</v>
      </c>
      <c r="F31" s="2">
        <v>36</v>
      </c>
      <c r="G31" s="2">
        <v>69.84</v>
      </c>
    </row>
    <row r="32" spans="1:7" x14ac:dyDescent="0.55000000000000004">
      <c r="A32" s="2"/>
      <c r="B32" s="2" t="s">
        <v>85</v>
      </c>
      <c r="C32" s="2" t="s">
        <v>86</v>
      </c>
      <c r="D32" s="2" t="s">
        <v>16</v>
      </c>
      <c r="E32" s="4" t="s">
        <v>87</v>
      </c>
      <c r="F32" s="2">
        <v>2</v>
      </c>
      <c r="G32" s="2">
        <v>129.66</v>
      </c>
    </row>
    <row r="33" spans="1:7" x14ac:dyDescent="0.55000000000000004">
      <c r="A33" s="2"/>
      <c r="B33" s="2" t="s">
        <v>31</v>
      </c>
      <c r="C33" s="2" t="s">
        <v>69</v>
      </c>
      <c r="D33" s="2" t="s">
        <v>29</v>
      </c>
      <c r="E33" s="4" t="s">
        <v>82</v>
      </c>
      <c r="F33" s="2">
        <v>23</v>
      </c>
      <c r="G33" s="2">
        <v>449.36</v>
      </c>
    </row>
    <row r="34" spans="1:7" x14ac:dyDescent="0.55000000000000004">
      <c r="A34" s="2"/>
      <c r="B34" s="2" t="s">
        <v>81</v>
      </c>
      <c r="C34" s="2" t="s">
        <v>52</v>
      </c>
      <c r="D34" s="2" t="s">
        <v>20</v>
      </c>
      <c r="E34" s="4" t="s">
        <v>88</v>
      </c>
      <c r="F34" s="2">
        <v>39</v>
      </c>
      <c r="G34" s="2">
        <v>6.95</v>
      </c>
    </row>
    <row r="35" spans="1:7" x14ac:dyDescent="0.55000000000000004">
      <c r="A35" s="2"/>
      <c r="B35" s="2" t="s">
        <v>46</v>
      </c>
      <c r="C35" s="2" t="s">
        <v>55</v>
      </c>
      <c r="D35" s="2" t="s">
        <v>20</v>
      </c>
      <c r="E35" s="4" t="s">
        <v>89</v>
      </c>
      <c r="F35" s="2">
        <v>21</v>
      </c>
      <c r="G35" s="2">
        <v>342.75</v>
      </c>
    </row>
    <row r="36" spans="1:7" x14ac:dyDescent="0.55000000000000004">
      <c r="A36" s="2"/>
      <c r="B36" s="2" t="s">
        <v>40</v>
      </c>
      <c r="C36" s="2" t="s">
        <v>72</v>
      </c>
      <c r="D36" s="2" t="s">
        <v>44</v>
      </c>
      <c r="E36" s="4" t="s">
        <v>60</v>
      </c>
      <c r="F36" s="2">
        <v>33</v>
      </c>
      <c r="G36" s="2">
        <v>228.83</v>
      </c>
    </row>
    <row r="37" spans="1:7" x14ac:dyDescent="0.55000000000000004">
      <c r="A37" s="2"/>
      <c r="B37" s="2" t="s">
        <v>85</v>
      </c>
      <c r="C37" s="2" t="s">
        <v>32</v>
      </c>
      <c r="D37" s="2" t="s">
        <v>20</v>
      </c>
      <c r="E37" s="4" t="s">
        <v>90</v>
      </c>
      <c r="F37" s="2">
        <v>13</v>
      </c>
      <c r="G37" s="2">
        <v>347.9</v>
      </c>
    </row>
    <row r="38" spans="1:7" x14ac:dyDescent="0.55000000000000004">
      <c r="A38" s="2"/>
      <c r="B38" s="2" t="s">
        <v>91</v>
      </c>
      <c r="C38" s="2" t="s">
        <v>72</v>
      </c>
      <c r="D38" s="2" t="s">
        <v>20</v>
      </c>
      <c r="E38" s="4" t="s">
        <v>92</v>
      </c>
      <c r="F38" s="2">
        <v>17</v>
      </c>
      <c r="G38" s="2">
        <v>461.78</v>
      </c>
    </row>
    <row r="39" spans="1:7" x14ac:dyDescent="0.55000000000000004">
      <c r="A39" s="2"/>
      <c r="B39" s="2" t="s">
        <v>75</v>
      </c>
      <c r="C39" s="2" t="s">
        <v>55</v>
      </c>
      <c r="D39" s="2" t="s">
        <v>12</v>
      </c>
      <c r="E39" s="4" t="s">
        <v>93</v>
      </c>
      <c r="F39" s="2">
        <v>16</v>
      </c>
      <c r="G39" s="2">
        <v>217.03</v>
      </c>
    </row>
    <row r="40" spans="1:7" x14ac:dyDescent="0.55000000000000004">
      <c r="A40" s="2"/>
      <c r="B40" s="2" t="s">
        <v>25</v>
      </c>
      <c r="C40" s="2" t="s">
        <v>94</v>
      </c>
      <c r="D40" s="2" t="s">
        <v>33</v>
      </c>
      <c r="E40" s="4" t="s">
        <v>95</v>
      </c>
      <c r="F40" s="2">
        <v>17</v>
      </c>
      <c r="G40" s="2">
        <v>442</v>
      </c>
    </row>
    <row r="41" spans="1:7" x14ac:dyDescent="0.55000000000000004">
      <c r="A41" s="2"/>
      <c r="B41" s="2" t="s">
        <v>83</v>
      </c>
      <c r="C41" s="2" t="s">
        <v>67</v>
      </c>
      <c r="D41" s="2" t="s">
        <v>16</v>
      </c>
      <c r="E41" s="4" t="s">
        <v>96</v>
      </c>
      <c r="F41" s="2">
        <v>15</v>
      </c>
      <c r="G41" s="2">
        <v>84.93</v>
      </c>
    </row>
    <row r="42" spans="1:7" x14ac:dyDescent="0.55000000000000004">
      <c r="A42" s="2"/>
      <c r="B42" s="2" t="s">
        <v>81</v>
      </c>
      <c r="C42" s="2" t="s">
        <v>97</v>
      </c>
      <c r="D42" s="2" t="s">
        <v>16</v>
      </c>
      <c r="E42" s="4" t="s">
        <v>93</v>
      </c>
      <c r="F42" s="2">
        <v>24</v>
      </c>
      <c r="G42" s="2">
        <v>14.64</v>
      </c>
    </row>
    <row r="43" spans="1:7" x14ac:dyDescent="0.55000000000000004">
      <c r="A43" s="2"/>
      <c r="B43" s="2" t="s">
        <v>91</v>
      </c>
      <c r="C43" s="2" t="s">
        <v>67</v>
      </c>
      <c r="D43" s="2" t="s">
        <v>16</v>
      </c>
      <c r="E43" s="4" t="s">
        <v>24</v>
      </c>
      <c r="F43" s="2">
        <v>5</v>
      </c>
      <c r="G43" s="2">
        <v>60.86</v>
      </c>
    </row>
    <row r="44" spans="1:7" x14ac:dyDescent="0.55000000000000004">
      <c r="A44" s="2"/>
      <c r="B44" s="2" t="s">
        <v>14</v>
      </c>
      <c r="C44" s="2" t="s">
        <v>65</v>
      </c>
      <c r="D44" s="2" t="s">
        <v>29</v>
      </c>
      <c r="E44" s="4" t="s">
        <v>98</v>
      </c>
      <c r="F44" s="2">
        <v>9</v>
      </c>
      <c r="G44" s="2">
        <v>410.79</v>
      </c>
    </row>
    <row r="45" spans="1:7" x14ac:dyDescent="0.55000000000000004">
      <c r="A45" s="2"/>
      <c r="B45" s="2" t="s">
        <v>31</v>
      </c>
      <c r="C45" s="2" t="s">
        <v>55</v>
      </c>
      <c r="D45" s="2" t="s">
        <v>33</v>
      </c>
      <c r="E45" s="4" t="s">
        <v>99</v>
      </c>
      <c r="F45" s="2">
        <v>12</v>
      </c>
      <c r="G45" s="2">
        <v>215.53</v>
      </c>
    </row>
    <row r="46" spans="1:7" x14ac:dyDescent="0.55000000000000004">
      <c r="A46" s="2"/>
      <c r="B46" s="2" t="s">
        <v>61</v>
      </c>
      <c r="C46" s="2" t="s">
        <v>100</v>
      </c>
      <c r="D46" s="2" t="s">
        <v>29</v>
      </c>
      <c r="E46" s="4" t="s">
        <v>101</v>
      </c>
      <c r="F46" s="2">
        <v>17</v>
      </c>
      <c r="G46" s="2">
        <v>432.07</v>
      </c>
    </row>
    <row r="47" spans="1:7" x14ac:dyDescent="0.55000000000000004">
      <c r="A47" s="2"/>
      <c r="B47" s="2" t="s">
        <v>40</v>
      </c>
      <c r="C47" s="2" t="s">
        <v>63</v>
      </c>
      <c r="D47" s="2" t="s">
        <v>29</v>
      </c>
      <c r="E47" s="4" t="s">
        <v>102</v>
      </c>
      <c r="F47" s="2">
        <v>16</v>
      </c>
      <c r="G47" s="2">
        <v>469.37</v>
      </c>
    </row>
    <row r="48" spans="1:7" x14ac:dyDescent="0.55000000000000004">
      <c r="A48" s="2"/>
      <c r="B48" s="2" t="s">
        <v>22</v>
      </c>
      <c r="C48" s="2" t="s">
        <v>103</v>
      </c>
      <c r="D48" s="2" t="s">
        <v>44</v>
      </c>
      <c r="E48" s="4" t="s">
        <v>104</v>
      </c>
      <c r="F48" s="2">
        <v>34</v>
      </c>
      <c r="G48" s="2">
        <v>380.95</v>
      </c>
    </row>
    <row r="49" spans="1:7" x14ac:dyDescent="0.55000000000000004">
      <c r="A49" s="2"/>
      <c r="B49" s="2" t="s">
        <v>31</v>
      </c>
      <c r="C49" s="2" t="s">
        <v>86</v>
      </c>
      <c r="D49" s="2" t="s">
        <v>29</v>
      </c>
      <c r="E49" s="4" t="s">
        <v>105</v>
      </c>
      <c r="F49" s="2">
        <v>3</v>
      </c>
      <c r="G49" s="2">
        <v>12.6</v>
      </c>
    </row>
    <row r="50" spans="1:7" x14ac:dyDescent="0.55000000000000004">
      <c r="A50" s="2"/>
      <c r="B50" s="2" t="s">
        <v>75</v>
      </c>
      <c r="C50" s="2" t="s">
        <v>59</v>
      </c>
      <c r="D50" s="2" t="s">
        <v>16</v>
      </c>
      <c r="E50" s="4" t="s">
        <v>106</v>
      </c>
      <c r="F50" s="2">
        <v>32</v>
      </c>
      <c r="G50" s="2">
        <v>275.22000000000003</v>
      </c>
    </row>
    <row r="51" spans="1:7" x14ac:dyDescent="0.55000000000000004">
      <c r="A51" s="2"/>
      <c r="B51" s="2" t="s">
        <v>81</v>
      </c>
      <c r="C51" s="2" t="s">
        <v>107</v>
      </c>
      <c r="D51" s="2" t="s">
        <v>44</v>
      </c>
      <c r="E51" s="4" t="s">
        <v>108</v>
      </c>
      <c r="F51" s="2">
        <v>23</v>
      </c>
      <c r="G51" s="2">
        <v>491.03</v>
      </c>
    </row>
    <row r="52" spans="1:7" x14ac:dyDescent="0.55000000000000004">
      <c r="A52" s="2"/>
      <c r="B52" s="2" t="s">
        <v>51</v>
      </c>
      <c r="C52" s="2" t="s">
        <v>65</v>
      </c>
      <c r="D52" s="2" t="s">
        <v>16</v>
      </c>
      <c r="E52" s="4" t="s">
        <v>109</v>
      </c>
      <c r="F52" s="2">
        <v>25</v>
      </c>
      <c r="G52" s="2">
        <v>435.92</v>
      </c>
    </row>
    <row r="53" spans="1:7" x14ac:dyDescent="0.55000000000000004">
      <c r="A53" s="2"/>
      <c r="B53" s="2" t="s">
        <v>31</v>
      </c>
      <c r="C53" s="2" t="s">
        <v>69</v>
      </c>
      <c r="D53" s="2" t="s">
        <v>12</v>
      </c>
      <c r="E53" s="4" t="s">
        <v>98</v>
      </c>
      <c r="F53" s="2">
        <v>29</v>
      </c>
      <c r="G53" s="2">
        <v>6.79</v>
      </c>
    </row>
    <row r="54" spans="1:7" x14ac:dyDescent="0.55000000000000004">
      <c r="A54" s="2"/>
      <c r="B54" s="2" t="s">
        <v>37</v>
      </c>
      <c r="C54" s="2" t="s">
        <v>49</v>
      </c>
      <c r="D54" s="2" t="s">
        <v>44</v>
      </c>
      <c r="E54" s="4" t="s">
        <v>110</v>
      </c>
      <c r="F54" s="2">
        <v>23</v>
      </c>
      <c r="G54" s="2">
        <v>95.56</v>
      </c>
    </row>
    <row r="55" spans="1:7" x14ac:dyDescent="0.55000000000000004">
      <c r="A55" s="2" t="s">
        <v>111</v>
      </c>
      <c r="B55" s="2" t="s">
        <v>27</v>
      </c>
      <c r="C55" s="2" t="s">
        <v>15</v>
      </c>
      <c r="D55" s="2" t="s">
        <v>29</v>
      </c>
      <c r="E55" s="4" t="s">
        <v>70</v>
      </c>
      <c r="F55" s="2">
        <v>33</v>
      </c>
      <c r="G55" s="2">
        <v>389.24</v>
      </c>
    </row>
    <row r="56" spans="1:7" x14ac:dyDescent="0.55000000000000004">
      <c r="A56" s="2"/>
      <c r="B56" s="2" t="s">
        <v>61</v>
      </c>
      <c r="C56" s="2" t="s">
        <v>94</v>
      </c>
      <c r="D56" s="2" t="s">
        <v>16</v>
      </c>
      <c r="E56" s="4" t="s">
        <v>112</v>
      </c>
      <c r="F56" s="2">
        <v>20</v>
      </c>
      <c r="G56" s="2">
        <v>155.6</v>
      </c>
    </row>
    <row r="57" spans="1:7" x14ac:dyDescent="0.55000000000000004">
      <c r="A57" s="2"/>
      <c r="B57" s="2" t="s">
        <v>14</v>
      </c>
      <c r="C57" s="2" t="s">
        <v>113</v>
      </c>
      <c r="D57" s="2" t="s">
        <v>33</v>
      </c>
      <c r="E57" s="4" t="s">
        <v>62</v>
      </c>
      <c r="F57" s="2">
        <v>21</v>
      </c>
      <c r="G57" s="2">
        <v>361.74</v>
      </c>
    </row>
    <row r="58" spans="1:7" x14ac:dyDescent="0.55000000000000004">
      <c r="A58" s="2"/>
      <c r="B58" s="2" t="s">
        <v>83</v>
      </c>
      <c r="C58" s="2" t="s">
        <v>107</v>
      </c>
      <c r="D58" s="2" t="s">
        <v>12</v>
      </c>
      <c r="E58" s="4" t="s">
        <v>92</v>
      </c>
      <c r="F58" s="2">
        <v>28</v>
      </c>
      <c r="G58" s="2">
        <v>368.26</v>
      </c>
    </row>
    <row r="59" spans="1:7" x14ac:dyDescent="0.55000000000000004">
      <c r="A59" s="2"/>
      <c r="B59" s="2" t="s">
        <v>48</v>
      </c>
      <c r="C59" s="2" t="s">
        <v>72</v>
      </c>
      <c r="D59" s="2" t="s">
        <v>33</v>
      </c>
      <c r="E59" s="4" t="s">
        <v>101</v>
      </c>
      <c r="F59" s="2">
        <v>2</v>
      </c>
      <c r="G59" s="2">
        <v>25.72</v>
      </c>
    </row>
    <row r="60" spans="1:7" x14ac:dyDescent="0.55000000000000004">
      <c r="A60" s="2"/>
      <c r="B60" s="2" t="s">
        <v>43</v>
      </c>
      <c r="C60" s="2" t="s">
        <v>11</v>
      </c>
      <c r="D60" s="2" t="s">
        <v>20</v>
      </c>
      <c r="E60" s="4" t="s">
        <v>114</v>
      </c>
      <c r="F60" s="2">
        <v>35</v>
      </c>
      <c r="G60" s="2">
        <v>341.93</v>
      </c>
    </row>
    <row r="61" spans="1:7" x14ac:dyDescent="0.55000000000000004">
      <c r="A61" s="2"/>
      <c r="B61" s="2" t="s">
        <v>115</v>
      </c>
      <c r="C61" s="2" t="s">
        <v>100</v>
      </c>
      <c r="D61" s="2" t="s">
        <v>12</v>
      </c>
      <c r="E61" s="4" t="s">
        <v>116</v>
      </c>
      <c r="F61" s="2">
        <v>6</v>
      </c>
      <c r="G61" s="2">
        <v>331.35</v>
      </c>
    </row>
    <row r="62" spans="1:7" x14ac:dyDescent="0.55000000000000004">
      <c r="A62" s="2"/>
      <c r="B62" s="2" t="s">
        <v>77</v>
      </c>
      <c r="C62" s="2" t="s">
        <v>117</v>
      </c>
      <c r="D62" s="2" t="s">
        <v>29</v>
      </c>
      <c r="E62" s="4" t="s">
        <v>70</v>
      </c>
      <c r="F62" s="2">
        <v>30</v>
      </c>
      <c r="G62" s="2">
        <v>249.5</v>
      </c>
    </row>
    <row r="63" spans="1:7" x14ac:dyDescent="0.55000000000000004">
      <c r="A63" s="2"/>
      <c r="B63" s="2" t="s">
        <v>118</v>
      </c>
      <c r="C63" s="2" t="s">
        <v>32</v>
      </c>
      <c r="D63" s="2" t="s">
        <v>12</v>
      </c>
      <c r="E63" s="4" t="s">
        <v>119</v>
      </c>
      <c r="F63" s="2">
        <v>5</v>
      </c>
      <c r="G63" s="2">
        <v>301.85000000000002</v>
      </c>
    </row>
    <row r="64" spans="1:7" x14ac:dyDescent="0.55000000000000004">
      <c r="A64" s="2"/>
      <c r="B64" s="2" t="s">
        <v>37</v>
      </c>
      <c r="C64" s="2" t="s">
        <v>120</v>
      </c>
      <c r="D64" s="2" t="s">
        <v>20</v>
      </c>
      <c r="E64" s="4" t="s">
        <v>121</v>
      </c>
      <c r="F64" s="2">
        <v>4</v>
      </c>
      <c r="G64" s="2">
        <v>245.47</v>
      </c>
    </row>
    <row r="65" spans="1:7" x14ac:dyDescent="0.55000000000000004">
      <c r="A65" s="2"/>
      <c r="B65" s="2" t="s">
        <v>18</v>
      </c>
      <c r="C65" s="2" t="s">
        <v>19</v>
      </c>
      <c r="D65" s="2" t="s">
        <v>29</v>
      </c>
      <c r="E65" s="4" t="s">
        <v>122</v>
      </c>
      <c r="F65" s="2">
        <v>30</v>
      </c>
      <c r="G65" s="2">
        <v>235.84</v>
      </c>
    </row>
    <row r="66" spans="1:7" x14ac:dyDescent="0.55000000000000004">
      <c r="A66" s="2"/>
      <c r="B66" s="2" t="s">
        <v>77</v>
      </c>
      <c r="C66" s="2" t="s">
        <v>69</v>
      </c>
      <c r="D66" s="2" t="s">
        <v>12</v>
      </c>
      <c r="E66" s="4" t="s">
        <v>73</v>
      </c>
      <c r="F66" s="2">
        <v>30</v>
      </c>
      <c r="G66" s="2">
        <v>42.85</v>
      </c>
    </row>
    <row r="67" spans="1:7" x14ac:dyDescent="0.55000000000000004">
      <c r="A67" s="2"/>
      <c r="B67" s="2" t="s">
        <v>115</v>
      </c>
      <c r="C67" s="2" t="s">
        <v>23</v>
      </c>
      <c r="D67" s="2" t="s">
        <v>44</v>
      </c>
      <c r="E67" s="4" t="s">
        <v>123</v>
      </c>
      <c r="F67" s="2">
        <v>34</v>
      </c>
      <c r="G67" s="2">
        <v>134.6</v>
      </c>
    </row>
    <row r="68" spans="1:7" x14ac:dyDescent="0.55000000000000004">
      <c r="A68" s="2"/>
      <c r="B68" s="2" t="s">
        <v>10</v>
      </c>
      <c r="C68" s="2" t="s">
        <v>124</v>
      </c>
      <c r="D68" s="2" t="s">
        <v>12</v>
      </c>
      <c r="E68" s="4" t="s">
        <v>125</v>
      </c>
      <c r="F68" s="2">
        <v>32</v>
      </c>
      <c r="G68" s="2">
        <v>200.07</v>
      </c>
    </row>
    <row r="69" spans="1:7" x14ac:dyDescent="0.55000000000000004">
      <c r="A69" s="2"/>
      <c r="B69" s="2" t="s">
        <v>51</v>
      </c>
      <c r="C69" s="2" t="s">
        <v>35</v>
      </c>
      <c r="D69" s="2" t="s">
        <v>16</v>
      </c>
      <c r="E69" s="4" t="s">
        <v>108</v>
      </c>
      <c r="F69" s="2">
        <v>23</v>
      </c>
      <c r="G69" s="2">
        <v>191.17</v>
      </c>
    </row>
    <row r="70" spans="1:7" x14ac:dyDescent="0.55000000000000004">
      <c r="A70" s="2"/>
      <c r="B70" s="2" t="s">
        <v>61</v>
      </c>
      <c r="C70" s="2" t="s">
        <v>41</v>
      </c>
      <c r="D70" s="2" t="s">
        <v>29</v>
      </c>
      <c r="E70" s="4" t="s">
        <v>126</v>
      </c>
      <c r="F70" s="2">
        <v>1</v>
      </c>
      <c r="G70" s="2">
        <v>451.28</v>
      </c>
    </row>
    <row r="71" spans="1:7" x14ac:dyDescent="0.55000000000000004">
      <c r="A71" s="2"/>
      <c r="B71" s="2" t="s">
        <v>127</v>
      </c>
      <c r="C71" s="2" t="s">
        <v>63</v>
      </c>
      <c r="D71" s="2" t="s">
        <v>16</v>
      </c>
      <c r="E71" s="4" t="s">
        <v>128</v>
      </c>
      <c r="F71" s="2">
        <v>28</v>
      </c>
      <c r="G71" s="2">
        <v>379.05</v>
      </c>
    </row>
    <row r="72" spans="1:7" x14ac:dyDescent="0.55000000000000004">
      <c r="A72" s="2"/>
      <c r="B72" s="2" t="s">
        <v>129</v>
      </c>
      <c r="C72" s="2" t="s">
        <v>15</v>
      </c>
      <c r="D72" s="2" t="s">
        <v>33</v>
      </c>
      <c r="E72" s="4" t="s">
        <v>130</v>
      </c>
      <c r="F72" s="2">
        <v>18</v>
      </c>
      <c r="G72" s="2">
        <v>220.94</v>
      </c>
    </row>
    <row r="73" spans="1:7" x14ac:dyDescent="0.55000000000000004">
      <c r="A73" s="2"/>
      <c r="B73" s="2" t="s">
        <v>10</v>
      </c>
      <c r="C73" s="2" t="s">
        <v>63</v>
      </c>
      <c r="D73" s="2" t="s">
        <v>12</v>
      </c>
      <c r="E73" s="4" t="s">
        <v>131</v>
      </c>
      <c r="F73" s="2">
        <v>36</v>
      </c>
      <c r="G73" s="2">
        <v>276.87</v>
      </c>
    </row>
    <row r="74" spans="1:7" x14ac:dyDescent="0.55000000000000004">
      <c r="A74" s="2"/>
      <c r="B74" s="2" t="s">
        <v>132</v>
      </c>
      <c r="C74" s="2" t="s">
        <v>67</v>
      </c>
      <c r="D74" s="2" t="s">
        <v>16</v>
      </c>
      <c r="E74" s="4" t="s">
        <v>96</v>
      </c>
      <c r="F74" s="2">
        <v>19</v>
      </c>
      <c r="G74" s="2">
        <v>245.36</v>
      </c>
    </row>
    <row r="75" spans="1:7" x14ac:dyDescent="0.55000000000000004">
      <c r="A75" s="2"/>
      <c r="B75" s="2" t="s">
        <v>46</v>
      </c>
      <c r="C75" s="2" t="s">
        <v>35</v>
      </c>
      <c r="D75" s="2" t="s">
        <v>29</v>
      </c>
      <c r="E75" s="4" t="s">
        <v>133</v>
      </c>
      <c r="F75" s="2">
        <v>17</v>
      </c>
      <c r="G75" s="2">
        <v>206.07</v>
      </c>
    </row>
    <row r="76" spans="1:7" x14ac:dyDescent="0.55000000000000004">
      <c r="A76" s="2"/>
      <c r="B76" s="2" t="s">
        <v>25</v>
      </c>
      <c r="C76" s="2" t="s">
        <v>35</v>
      </c>
      <c r="D76" s="2" t="s">
        <v>12</v>
      </c>
      <c r="E76" s="4" t="s">
        <v>134</v>
      </c>
      <c r="F76" s="2">
        <v>14</v>
      </c>
      <c r="G76" s="2">
        <v>252.8</v>
      </c>
    </row>
    <row r="77" spans="1:7" x14ac:dyDescent="0.55000000000000004">
      <c r="A77" s="2"/>
      <c r="B77" s="2" t="s">
        <v>91</v>
      </c>
      <c r="C77" s="2" t="s">
        <v>135</v>
      </c>
      <c r="D77" s="2" t="s">
        <v>29</v>
      </c>
      <c r="E77" s="4" t="s">
        <v>136</v>
      </c>
      <c r="F77" s="2">
        <v>9</v>
      </c>
      <c r="G77" s="2">
        <v>276.14999999999998</v>
      </c>
    </row>
    <row r="78" spans="1:7" x14ac:dyDescent="0.55000000000000004">
      <c r="A78" s="2"/>
      <c r="B78" s="2" t="s">
        <v>14</v>
      </c>
      <c r="C78" s="2" t="s">
        <v>137</v>
      </c>
      <c r="D78" s="2" t="s">
        <v>20</v>
      </c>
      <c r="E78" s="4" t="s">
        <v>138</v>
      </c>
      <c r="F78" s="2">
        <v>17</v>
      </c>
      <c r="G78" s="2">
        <v>405.63</v>
      </c>
    </row>
    <row r="79" spans="1:7" x14ac:dyDescent="0.55000000000000004">
      <c r="A79" s="2"/>
      <c r="B79" s="2" t="s">
        <v>14</v>
      </c>
      <c r="C79" s="2" t="s">
        <v>67</v>
      </c>
      <c r="D79" s="2" t="s">
        <v>16</v>
      </c>
      <c r="E79" s="4" t="s">
        <v>139</v>
      </c>
      <c r="F79" s="2">
        <v>18</v>
      </c>
      <c r="G79" s="2">
        <v>172.41</v>
      </c>
    </row>
    <row r="80" spans="1:7" x14ac:dyDescent="0.55000000000000004">
      <c r="A80" s="2" t="s">
        <v>140</v>
      </c>
      <c r="B80" s="2" t="s">
        <v>57</v>
      </c>
      <c r="C80" s="2" t="s">
        <v>141</v>
      </c>
      <c r="D80" s="2" t="s">
        <v>44</v>
      </c>
      <c r="E80" s="4" t="s">
        <v>142</v>
      </c>
      <c r="F80" s="2">
        <v>14</v>
      </c>
      <c r="G80" s="2">
        <v>50.84</v>
      </c>
    </row>
    <row r="81" spans="1:7" x14ac:dyDescent="0.55000000000000004">
      <c r="A81" s="2"/>
      <c r="B81" s="2" t="s">
        <v>75</v>
      </c>
      <c r="C81" s="2" t="s">
        <v>11</v>
      </c>
      <c r="D81" s="2" t="s">
        <v>16</v>
      </c>
      <c r="E81" s="4" t="s">
        <v>143</v>
      </c>
      <c r="F81" s="2">
        <v>3</v>
      </c>
      <c r="G81" s="2">
        <v>215.47</v>
      </c>
    </row>
    <row r="82" spans="1:7" x14ac:dyDescent="0.55000000000000004">
      <c r="A82" s="2"/>
      <c r="B82" s="2" t="s">
        <v>91</v>
      </c>
      <c r="C82" s="2" t="s">
        <v>35</v>
      </c>
      <c r="D82" s="2" t="s">
        <v>12</v>
      </c>
      <c r="E82" s="4" t="s">
        <v>144</v>
      </c>
      <c r="F82" s="2">
        <v>16</v>
      </c>
      <c r="G82" s="2">
        <v>392.64</v>
      </c>
    </row>
    <row r="83" spans="1:7" x14ac:dyDescent="0.55000000000000004">
      <c r="A83" s="2"/>
      <c r="B83" s="2" t="s">
        <v>71</v>
      </c>
      <c r="C83" s="2" t="s">
        <v>55</v>
      </c>
      <c r="D83" s="2" t="s">
        <v>33</v>
      </c>
      <c r="E83" s="4" t="s">
        <v>145</v>
      </c>
      <c r="F83" s="2">
        <v>36</v>
      </c>
      <c r="G83" s="2">
        <v>389.55</v>
      </c>
    </row>
    <row r="84" spans="1:7" x14ac:dyDescent="0.55000000000000004">
      <c r="A84" s="2"/>
      <c r="B84" s="2" t="s">
        <v>146</v>
      </c>
      <c r="C84" s="2" t="s">
        <v>135</v>
      </c>
      <c r="D84" s="2" t="s">
        <v>33</v>
      </c>
      <c r="E84" s="4" t="s">
        <v>96</v>
      </c>
      <c r="F84" s="2">
        <v>17</v>
      </c>
      <c r="G84" s="2">
        <v>266.49</v>
      </c>
    </row>
    <row r="85" spans="1:7" x14ac:dyDescent="0.55000000000000004">
      <c r="A85" s="2"/>
      <c r="B85" s="2" t="s">
        <v>118</v>
      </c>
      <c r="C85" s="2" t="s">
        <v>15</v>
      </c>
      <c r="D85" s="2" t="s">
        <v>29</v>
      </c>
      <c r="E85" s="4" t="s">
        <v>139</v>
      </c>
      <c r="F85" s="2">
        <v>17</v>
      </c>
      <c r="G85" s="2">
        <v>115.67</v>
      </c>
    </row>
    <row r="86" spans="1:7" x14ac:dyDescent="0.55000000000000004">
      <c r="A86" s="2"/>
      <c r="B86" s="2" t="s">
        <v>85</v>
      </c>
      <c r="C86" s="2" t="s">
        <v>49</v>
      </c>
      <c r="D86" s="2" t="s">
        <v>16</v>
      </c>
      <c r="E86" s="4" t="s">
        <v>147</v>
      </c>
      <c r="F86" s="2">
        <v>16</v>
      </c>
      <c r="G86" s="2">
        <v>240.28</v>
      </c>
    </row>
    <row r="87" spans="1:7" x14ac:dyDescent="0.55000000000000004">
      <c r="A87" s="2"/>
      <c r="B87" s="2" t="s">
        <v>75</v>
      </c>
      <c r="C87" s="2" t="s">
        <v>135</v>
      </c>
      <c r="D87" s="2" t="s">
        <v>16</v>
      </c>
      <c r="E87" s="4" t="s">
        <v>148</v>
      </c>
      <c r="F87" s="2">
        <v>2</v>
      </c>
      <c r="G87" s="2">
        <v>101.09</v>
      </c>
    </row>
    <row r="88" spans="1:7" x14ac:dyDescent="0.55000000000000004">
      <c r="A88" s="2"/>
      <c r="B88" s="2" t="s">
        <v>118</v>
      </c>
      <c r="C88" s="2" t="s">
        <v>107</v>
      </c>
      <c r="D88" s="2" t="s">
        <v>33</v>
      </c>
      <c r="E88" s="4" t="s">
        <v>149</v>
      </c>
      <c r="F88" s="2">
        <v>32</v>
      </c>
      <c r="G88" s="2">
        <v>21.88</v>
      </c>
    </row>
    <row r="89" spans="1:7" x14ac:dyDescent="0.55000000000000004">
      <c r="A89" s="2"/>
      <c r="B89" s="2" t="s">
        <v>27</v>
      </c>
      <c r="C89" s="2" t="s">
        <v>63</v>
      </c>
      <c r="D89" s="2" t="s">
        <v>44</v>
      </c>
      <c r="E89" s="4" t="s">
        <v>150</v>
      </c>
      <c r="F89" s="2">
        <v>33</v>
      </c>
      <c r="G89" s="2">
        <v>38.380000000000003</v>
      </c>
    </row>
    <row r="90" spans="1:7" x14ac:dyDescent="0.55000000000000004">
      <c r="A90" s="2"/>
      <c r="B90" s="2" t="s">
        <v>83</v>
      </c>
      <c r="C90" s="2" t="s">
        <v>107</v>
      </c>
      <c r="D90" s="2" t="s">
        <v>44</v>
      </c>
      <c r="E90" s="4" t="s">
        <v>151</v>
      </c>
      <c r="F90" s="2">
        <v>7</v>
      </c>
      <c r="G90" s="2">
        <v>476.2</v>
      </c>
    </row>
    <row r="91" spans="1:7" x14ac:dyDescent="0.55000000000000004">
      <c r="A91" s="2"/>
      <c r="B91" s="2" t="s">
        <v>91</v>
      </c>
      <c r="C91" s="2" t="s">
        <v>52</v>
      </c>
      <c r="D91" s="2" t="s">
        <v>16</v>
      </c>
      <c r="E91" s="4" t="s">
        <v>152</v>
      </c>
      <c r="F91" s="2">
        <v>10</v>
      </c>
      <c r="G91" s="2">
        <v>461.35</v>
      </c>
    </row>
    <row r="92" spans="1:7" x14ac:dyDescent="0.55000000000000004">
      <c r="A92" s="2"/>
      <c r="B92" s="2" t="s">
        <v>146</v>
      </c>
      <c r="C92" s="2" t="s">
        <v>103</v>
      </c>
      <c r="D92" s="2" t="s">
        <v>16</v>
      </c>
      <c r="E92" s="4" t="s">
        <v>153</v>
      </c>
      <c r="F92" s="2">
        <v>26</v>
      </c>
      <c r="G92" s="2">
        <v>227.57</v>
      </c>
    </row>
    <row r="93" spans="1:7" x14ac:dyDescent="0.55000000000000004">
      <c r="A93" s="2"/>
      <c r="B93" s="2" t="s">
        <v>43</v>
      </c>
      <c r="C93" s="2" t="s">
        <v>94</v>
      </c>
      <c r="D93" s="2" t="s">
        <v>29</v>
      </c>
      <c r="E93" s="4" t="s">
        <v>154</v>
      </c>
      <c r="F93" s="2">
        <v>20</v>
      </c>
      <c r="G93" s="2">
        <v>333.89</v>
      </c>
    </row>
    <row r="94" spans="1:7" x14ac:dyDescent="0.55000000000000004">
      <c r="A94" s="2"/>
      <c r="B94" s="2" t="s">
        <v>155</v>
      </c>
      <c r="C94" s="2" t="s">
        <v>63</v>
      </c>
      <c r="D94" s="2" t="s">
        <v>44</v>
      </c>
      <c r="E94" s="4" t="s">
        <v>156</v>
      </c>
      <c r="F94" s="2">
        <v>6</v>
      </c>
      <c r="G94" s="2">
        <v>178.98</v>
      </c>
    </row>
    <row r="95" spans="1:7" x14ac:dyDescent="0.55000000000000004">
      <c r="A95" s="2"/>
      <c r="B95" s="2" t="s">
        <v>77</v>
      </c>
      <c r="C95" s="2" t="s">
        <v>135</v>
      </c>
      <c r="D95" s="2" t="s">
        <v>29</v>
      </c>
      <c r="E95" s="4" t="s">
        <v>157</v>
      </c>
      <c r="F95" s="2">
        <v>6</v>
      </c>
      <c r="G95" s="2">
        <v>29.38</v>
      </c>
    </row>
    <row r="96" spans="1:7" x14ac:dyDescent="0.55000000000000004">
      <c r="A96" s="2"/>
      <c r="B96" s="2" t="s">
        <v>83</v>
      </c>
      <c r="C96" s="2" t="s">
        <v>63</v>
      </c>
      <c r="D96" s="2" t="s">
        <v>44</v>
      </c>
      <c r="E96" s="4" t="s">
        <v>158</v>
      </c>
      <c r="F96" s="2">
        <v>27</v>
      </c>
      <c r="G96" s="2">
        <v>127.77</v>
      </c>
    </row>
    <row r="97" spans="1:7" x14ac:dyDescent="0.55000000000000004">
      <c r="A97" s="2"/>
      <c r="B97" s="2" t="s">
        <v>118</v>
      </c>
      <c r="C97" s="2" t="s">
        <v>11</v>
      </c>
      <c r="D97" s="2" t="s">
        <v>16</v>
      </c>
      <c r="E97" s="4" t="s">
        <v>159</v>
      </c>
      <c r="F97" s="2">
        <v>13</v>
      </c>
      <c r="G97" s="2">
        <v>374.91</v>
      </c>
    </row>
    <row r="98" spans="1:7" x14ac:dyDescent="0.55000000000000004">
      <c r="A98" s="2"/>
      <c r="B98" s="2" t="s">
        <v>37</v>
      </c>
      <c r="C98" s="2" t="s">
        <v>141</v>
      </c>
      <c r="D98" s="2" t="s">
        <v>20</v>
      </c>
      <c r="E98" s="4" t="s">
        <v>160</v>
      </c>
      <c r="F98" s="2">
        <v>20</v>
      </c>
      <c r="G98" s="2">
        <v>6.87</v>
      </c>
    </row>
    <row r="99" spans="1:7" x14ac:dyDescent="0.55000000000000004">
      <c r="A99" s="2"/>
      <c r="B99" s="2" t="s">
        <v>132</v>
      </c>
      <c r="C99" s="2" t="s">
        <v>135</v>
      </c>
      <c r="D99" s="2" t="s">
        <v>16</v>
      </c>
      <c r="E99" s="4" t="s">
        <v>136</v>
      </c>
      <c r="F99" s="2">
        <v>17</v>
      </c>
      <c r="G99" s="2">
        <v>457.2</v>
      </c>
    </row>
    <row r="100" spans="1:7" x14ac:dyDescent="0.55000000000000004">
      <c r="A100" s="2"/>
      <c r="B100" s="2" t="s">
        <v>83</v>
      </c>
      <c r="C100" s="2" t="s">
        <v>59</v>
      </c>
      <c r="D100" s="2" t="s">
        <v>12</v>
      </c>
      <c r="E100" s="4" t="s">
        <v>161</v>
      </c>
      <c r="F100" s="2">
        <v>10</v>
      </c>
      <c r="G100" s="2">
        <v>305.58999999999997</v>
      </c>
    </row>
    <row r="101" spans="1:7" x14ac:dyDescent="0.55000000000000004">
      <c r="A101" s="2"/>
      <c r="B101" s="2" t="s">
        <v>37</v>
      </c>
      <c r="C101" s="2" t="s">
        <v>32</v>
      </c>
      <c r="D101" s="2" t="s">
        <v>20</v>
      </c>
      <c r="E101" s="4" t="s">
        <v>139</v>
      </c>
      <c r="F101" s="2">
        <v>11</v>
      </c>
      <c r="G101" s="2">
        <v>127.42</v>
      </c>
    </row>
    <row r="102" spans="1:7" x14ac:dyDescent="0.55000000000000004">
      <c r="A102" s="2"/>
      <c r="B102" s="2" t="s">
        <v>132</v>
      </c>
      <c r="C102" s="2" t="s">
        <v>32</v>
      </c>
      <c r="D102" s="2" t="s">
        <v>44</v>
      </c>
      <c r="E102" s="4" t="s">
        <v>162</v>
      </c>
      <c r="F102" s="2">
        <v>17</v>
      </c>
      <c r="G102" s="2">
        <v>314.18</v>
      </c>
    </row>
    <row r="103" spans="1:7" x14ac:dyDescent="0.55000000000000004">
      <c r="A103" s="2"/>
      <c r="B103" s="2" t="s">
        <v>14</v>
      </c>
      <c r="C103" s="2" t="s">
        <v>11</v>
      </c>
      <c r="D103" s="2" t="s">
        <v>33</v>
      </c>
      <c r="E103" s="4" t="s">
        <v>163</v>
      </c>
      <c r="F103" s="2">
        <v>9</v>
      </c>
      <c r="G103" s="2">
        <v>211.34</v>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C555A638-3B4A-4A93-9ABC-B1A9B14D580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9</vt:i4>
      </vt:variant>
    </vt:vector>
  </HeadingPairs>
  <TitlesOfParts>
    <vt:vector size="13" baseType="lpstr">
      <vt:lpstr>Pivot_Analysis</vt:lpstr>
      <vt:lpstr>Dashboard</vt:lpstr>
      <vt:lpstr>Orders after cleaning</vt:lpstr>
      <vt:lpstr>Orders</vt:lpstr>
      <vt:lpstr>Category</vt:lpstr>
      <vt:lpstr>Order_Date</vt:lpstr>
      <vt:lpstr>Product_Name</vt:lpstr>
      <vt:lpstr>Quantity</vt:lpstr>
      <vt:lpstr>Region</vt:lpstr>
      <vt:lpstr>Subcategory</vt:lpstr>
      <vt:lpstr>Total_Sales</vt:lpstr>
      <vt:lpstr>Unit_Price</vt:lpstr>
      <vt:lpstr>Warehouse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Adham Ashraf Saeed</cp:lastModifiedBy>
  <dcterms:created xsi:type="dcterms:W3CDTF">2026-06-19T12:45:46Z</dcterms:created>
  <dcterms:modified xsi:type="dcterms:W3CDTF">2026-06-21T00:10:10Z</dcterms:modified>
</cp:coreProperties>
</file>