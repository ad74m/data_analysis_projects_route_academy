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E:\Route\Sessions\Session 3\Materials\"/>
    </mc:Choice>
  </mc:AlternateContent>
  <xr:revisionPtr revIDLastSave="0" documentId="13_ncr:1_{5DC57B56-1CCB-4EE1-8A51-50C8FBA9B493}" xr6:coauthVersionLast="47" xr6:coauthVersionMax="47" xr10:uidLastSave="{00000000-0000-0000-0000-000000000000}"/>
  <bookViews>
    <workbookView xWindow="-96" yWindow="384" windowWidth="23232" windowHeight="14112" activeTab="1" xr2:uid="{211C2A7A-B507-42D3-8750-87249318BF6D}"/>
  </bookViews>
  <sheets>
    <sheet name="Report" sheetId="2" r:id="rId1"/>
    <sheet name="Dashboard" sheetId="3" r:id="rId2"/>
  </sheets>
  <definedNames>
    <definedName name="Slicer_Region">#N/A</definedName>
    <definedName name="Slicer_Warehous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E4A479-841F-49AC-8F5C-02CB165DEE85}"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sharedStrings.xml><?xml version="1.0" encoding="utf-8"?>
<sst xmlns="http://schemas.openxmlformats.org/spreadsheetml/2006/main" count="82" uniqueCount="43">
  <si>
    <t>Warehouse A</t>
  </si>
  <si>
    <t>Aswan</t>
  </si>
  <si>
    <t>Electronics</t>
  </si>
  <si>
    <t>Accessories</t>
  </si>
  <si>
    <t>Mansoura</t>
  </si>
  <si>
    <t>Office</t>
  </si>
  <si>
    <t>Stationery</t>
  </si>
  <si>
    <t>Giza</t>
  </si>
  <si>
    <t>Networking</t>
  </si>
  <si>
    <t>Cables</t>
  </si>
  <si>
    <t>Alexandria</t>
  </si>
  <si>
    <t>Furniture</t>
  </si>
  <si>
    <t>Tanta</t>
  </si>
  <si>
    <t>Storage</t>
  </si>
  <si>
    <t>Drives</t>
  </si>
  <si>
    <t>Port Said</t>
  </si>
  <si>
    <t>Computers</t>
  </si>
  <si>
    <t>Cairo</t>
  </si>
  <si>
    <t>Warehouse B</t>
  </si>
  <si>
    <t>Luxor</t>
  </si>
  <si>
    <t>Warehouse C</t>
  </si>
  <si>
    <t>Warehouse D</t>
  </si>
  <si>
    <t>Sum of Sales</t>
  </si>
  <si>
    <t>Column Labels</t>
  </si>
  <si>
    <t>Jan</t>
  </si>
  <si>
    <t>Feb</t>
  </si>
  <si>
    <t>Mar</t>
  </si>
  <si>
    <t>Apr</t>
  </si>
  <si>
    <t>May</t>
  </si>
  <si>
    <t>Jun</t>
  </si>
  <si>
    <t>Jul</t>
  </si>
  <si>
    <t>Aug</t>
  </si>
  <si>
    <t>Sep</t>
  </si>
  <si>
    <t>Oct</t>
  </si>
  <si>
    <t>Nov</t>
  </si>
  <si>
    <t>Dec</t>
  </si>
  <si>
    <t>Grand Total</t>
  </si>
  <si>
    <t>Row Labels</t>
  </si>
  <si>
    <t>Sum of Quantity</t>
  </si>
  <si>
    <t>Avg Sales</t>
  </si>
  <si>
    <t>Total Sales</t>
  </si>
  <si>
    <t>Total Orders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</si>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</sst>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 x14ac:knownFonts="1">
    <font>
      <sz val="11"/>
      <color theme="1"/>
      <name val="Aptos Narrow"/>
      <family val="2"/>
      <scheme val="minor"/>
    </font>
    <font>
      <sz val="18"/>
      <color theme="1"/>
      <name val="Angsana New"/>
      <family val="1"/>
      <charset val="22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pivotButton="1" applyFont="1"/>
    <xf numFmtId="0" fontId="1" fillId="0" borderId="0" xfId="0" applyFont="1"/>
    <xf numFmtId="0" fontId="1" fillId="0" borderId="0" xfId="0" applyFont="1" applyAlignment="1">
      <alignment horizontal="left"/>
    </xf>
    <xf numFmtId="0" fontId="1" fillId="0" borderId="0" xfId="0" applyFont="1" applyAlignment="1">
      <alignment horizontal="left" indent="1"/>
    </xf>
    <xf numFmtId="164" fontId="1" fillId="0" borderId="0" xfId="0" applyNumberFormat="1" applyFont="1"/>
    <xf numFmtId="0" fontId="1" fillId="0" borderId="0" xfId="0" applyNumberFormat="1" applyFont="1"/>
  </cellXfs>
  <cellStyles count="1">
    <cellStyle name="Normal" xfId="0" builtinId="0"/>
  </cellStyles>
  <dxfs count="1099">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b val="0"/>
      </font>
    </dxf>
    <dxf>
      <font>
        <b val="0"/>
      </font>
    </dxf>
    <dxf>
      <font>
        <b val="0"/>
      </font>
    </dxf>
    <dxf>
      <numFmt numFmtId="164" formatCode="&quot;$&quot;#,##0.00"/>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b val="0"/>
      </font>
    </dxf>
    <dxf>
      <font>
        <b val="0"/>
      </font>
    </dxf>
    <dxf>
      <font>
        <b val="0"/>
      </font>
    </dxf>
    <dxf>
      <numFmt numFmtId="164" formatCode="&quot;$&quot;#,##0.00"/>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b val="0"/>
      </font>
    </dxf>
    <dxf>
      <font>
        <b val="0"/>
      </font>
    </dxf>
    <dxf>
      <font>
        <b val="0"/>
      </font>
    </dxf>
    <dxf>
      <numFmt numFmtId="164" formatCode="&quot;$&quot;#,##0.00"/>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b val="0"/>
      </font>
    </dxf>
    <dxf>
      <font>
        <b val="0"/>
      </font>
    </dxf>
    <dxf>
      <font>
        <b val="0"/>
      </font>
    </dxf>
    <dxf>
      <numFmt numFmtId="164" formatCode="&quot;$&quot;#,##0.00"/>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b val="0"/>
      </font>
    </dxf>
    <dxf>
      <font>
        <b val="0"/>
      </font>
    </dxf>
    <dxf>
      <font>
        <b val="0"/>
      </font>
    </dxf>
    <dxf>
      <numFmt numFmtId="164" formatCode="&quot;$&quot;#,##0.00"/>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b val="0"/>
      </font>
    </dxf>
    <dxf>
      <font>
        <b val="0"/>
      </font>
    </dxf>
    <dxf>
      <font>
        <b val="0"/>
      </font>
    </dxf>
    <dxf>
      <numFmt numFmtId="164" formatCode="&quot;$&quot;#,##0.00"/>
    </dxf>
    <dxf>
      <numFmt numFmtId="164" formatCode="&quot;$&quot;#,##0.00"/>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sz val="18"/>
      </font>
    </dxf>
    <dxf>
      <font>
        <sz val="18"/>
      </font>
    </dxf>
    <dxf>
      <font>
        <sz val="18"/>
      </font>
    </dxf>
    <dxf>
      <font>
        <sz val="18"/>
      </font>
    </dxf>
    <dxf>
      <font>
        <sz val="18"/>
      </font>
    </dxf>
    <dxf>
      <font>
        <sz val="18"/>
      </font>
    </dxf>
    <dxf>
      <font>
        <b val="0"/>
      </font>
    </dxf>
    <dxf>
      <font>
        <b val="0"/>
      </font>
    </dxf>
    <dxf>
      <font>
        <b val="0"/>
      </font>
    </dxf>
    <dxf>
      <font>
        <b val="0"/>
      </font>
    </dxf>
    <dxf>
      <font>
        <b val="0"/>
      </font>
    </dxf>
    <dxf>
      <font>
        <b val="0"/>
      </font>
    </dxf>
    <dxf>
      <numFmt numFmtId="164" formatCode="&quot;$&quot;#,##0.0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b val="0"/>
      </font>
    </dxf>
    <dxf>
      <font>
        <b val="0"/>
      </font>
    </dxf>
    <dxf>
      <font>
        <b val="0"/>
      </font>
    </dxf>
    <dxf>
      <font>
        <b val="0"/>
      </font>
    </dxf>
    <dxf>
      <font>
        <b val="0"/>
      </font>
    </dxf>
    <dxf>
      <font>
        <b val="0"/>
      </font>
    </dxf>
    <dxf>
      <font>
        <sz val="18"/>
      </font>
    </dxf>
    <dxf>
      <font>
        <sz val="18"/>
      </font>
    </dxf>
    <dxf>
      <font>
        <sz val="18"/>
      </font>
    </dxf>
    <dxf>
      <font>
        <sz val="18"/>
      </font>
    </dxf>
    <dxf>
      <font>
        <sz val="18"/>
      </font>
    </dxf>
    <dxf>
      <font>
        <sz val="18"/>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b val="0"/>
      </font>
    </dxf>
    <dxf>
      <font>
        <b val="0"/>
      </font>
    </dxf>
    <dxf>
      <font>
        <b val="0"/>
      </font>
    </dxf>
    <dxf>
      <font>
        <b val="0"/>
      </font>
    </dxf>
    <dxf>
      <font>
        <b val="0"/>
      </font>
    </dxf>
    <dxf>
      <font>
        <b val="0"/>
      </font>
    </dxf>
    <dxf>
      <font>
        <b val="0"/>
      </font>
    </dxf>
    <dxf>
      <font>
        <b val="0"/>
      </font>
    </dxf>
    <dxf>
      <font>
        <b val="0"/>
      </font>
    </dxf>
    <dxf>
      <font>
        <b val="0"/>
      </font>
    </dxf>
    <dxf>
      <font>
        <sz val="18"/>
      </font>
    </dxf>
    <dxf>
      <font>
        <sz val="18"/>
      </font>
    </dxf>
    <dxf>
      <font>
        <sz val="18"/>
      </font>
    </dxf>
    <dxf>
      <font>
        <sz val="18"/>
      </font>
    </dxf>
    <dxf>
      <font>
        <sz val="18"/>
      </font>
    </dxf>
    <dxf>
      <font>
        <sz val="18"/>
      </font>
    </dxf>
    <dxf>
      <font>
        <sz val="18"/>
      </font>
    </dxf>
    <dxf>
      <font>
        <sz val="18"/>
      </font>
    </dxf>
    <dxf>
      <font>
        <sz val="18"/>
      </font>
    </dxf>
    <dxf>
      <font>
        <sz val="18"/>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font>
        <b val="0"/>
      </font>
    </dxf>
    <dxf>
      <font>
        <b val="0"/>
      </font>
    </dxf>
    <dxf>
      <font>
        <b val="0"/>
      </font>
    </dxf>
    <dxf>
      <font>
        <b val="0"/>
      </font>
    </dxf>
    <dxf>
      <font>
        <b val="0"/>
      </font>
    </dxf>
    <dxf>
      <font>
        <b val="0"/>
      </font>
    </dxf>
    <dxf>
      <font>
        <sz val="18"/>
      </font>
    </dxf>
    <dxf>
      <font>
        <sz val="18"/>
      </font>
    </dxf>
    <dxf>
      <font>
        <sz val="18"/>
      </font>
    </dxf>
    <dxf>
      <font>
        <sz val="18"/>
      </font>
    </dxf>
    <dxf>
      <font>
        <sz val="18"/>
      </font>
    </dxf>
    <dxf>
      <font>
        <sz val="18"/>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b val="0"/>
      </font>
    </dxf>
    <dxf>
      <font>
        <b val="0"/>
      </font>
    </dxf>
    <dxf>
      <font>
        <b val="0"/>
      </font>
    </dxf>
    <dxf>
      <font>
        <b val="0"/>
      </font>
    </dxf>
    <dxf>
      <font>
        <b val="0"/>
      </font>
    </dxf>
    <dxf>
      <font>
        <b val="0"/>
      </font>
    </dxf>
    <dxf>
      <font>
        <sz val="18"/>
      </font>
    </dxf>
    <dxf>
      <font>
        <sz val="18"/>
      </font>
    </dxf>
    <dxf>
      <font>
        <sz val="18"/>
      </font>
    </dxf>
    <dxf>
      <font>
        <sz val="18"/>
      </font>
    </dxf>
    <dxf>
      <font>
        <sz val="18"/>
      </font>
    </dxf>
    <dxf>
      <font>
        <sz val="18"/>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font>
        <b val="0"/>
      </font>
    </dxf>
    <dxf>
      <font>
        <b val="0"/>
      </font>
    </dxf>
    <dxf>
      <font>
        <b val="0"/>
      </font>
    </dxf>
    <dxf>
      <font>
        <b val="0"/>
      </font>
    </dxf>
    <dxf>
      <font>
        <b val="0"/>
      </font>
    </dxf>
    <dxf>
      <font>
        <b val="0"/>
      </font>
    </dxf>
    <dxf>
      <font>
        <sz val="18"/>
      </font>
    </dxf>
    <dxf>
      <font>
        <sz val="18"/>
      </font>
    </dxf>
    <dxf>
      <font>
        <sz val="18"/>
      </font>
    </dxf>
    <dxf>
      <font>
        <sz val="18"/>
      </font>
    </dxf>
    <dxf>
      <font>
        <sz val="18"/>
      </font>
    </dxf>
    <dxf>
      <font>
        <sz val="18"/>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font>
        <name val="Angsana New"/>
        <family val="1"/>
        <charset val="222"/>
        <scheme val="none"/>
      </font>
    </dxf>
    <dxf>
      <numFmt numFmtId="164" formatCode="&quot;$&quot;#,##0.00"/>
    </dxf>
    <dxf>
      <numFmt numFmtId="164" formatCode="&quot;$&quot;#,##0.00"/>
    </dxf>
    <dxf>
      <font>
        <b val="0"/>
      </font>
    </dxf>
    <dxf>
      <font>
        <b val="0"/>
      </font>
    </dxf>
    <dxf>
      <font>
        <b val="0"/>
      </font>
    </dxf>
    <dxf>
      <font>
        <sz val="18"/>
      </font>
    </dxf>
    <dxf>
      <font>
        <sz val="18"/>
      </font>
    </dxf>
    <dxf>
      <font>
        <sz val="18"/>
      </font>
    </dxf>
    <dxf>
      <font>
        <name val="Angsana New"/>
        <family val="1"/>
        <charset val="222"/>
        <scheme val="none"/>
      </font>
    </dxf>
    <dxf>
      <font>
        <name val="Angsana New"/>
        <family val="1"/>
        <charset val="222"/>
        <scheme val="none"/>
      </font>
    </dxf>
    <dxf>
      <font>
        <name val="Angsana New"/>
        <family val="1"/>
        <charset val="22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[Dashboard.xlsx]Report!Total Quantity by Warehouse</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2060"/>
          </a:solidFill>
          <a:ln w="19050">
            <a:noFill/>
          </a:ln>
          <a:effectLst/>
        </c:spPr>
      </c:pivotFmt>
      <c:pivotFmt>
        <c:idx val="8"/>
        <c:spPr>
          <a:solidFill>
            <a:schemeClr val="tx1"/>
          </a:solidFill>
          <a:ln w="19050">
            <a:noFill/>
          </a:ln>
          <a:effectLst/>
        </c:spPr>
      </c:pivotFmt>
      <c:pivotFmt>
        <c:idx val="9"/>
        <c:spPr>
          <a:solidFill>
            <a:schemeClr val="accent1"/>
          </a:solidFill>
          <a:ln w="19050">
            <a:noFill/>
          </a:ln>
          <a:effectLst/>
        </c:spPr>
      </c:pivotFmt>
      <c:pivotFmt>
        <c:idx val="10"/>
        <c:spPr>
          <a:solidFill>
            <a:srgbClr val="FF0000"/>
          </a:solidFill>
          <a:ln w="19050">
            <a:noFill/>
          </a:ln>
          <a:effectLst/>
        </c:spPr>
      </c:pivotFmt>
    </c:pivotFmts>
    <c:plotArea>
      <c:layout/>
      <c:doughnutChart>
        <c:varyColors val="1"/>
        <c:ser>
          <c:idx val="0"/>
          <c:order val="0"/>
          <c:tx>
            <c:strRef>
              <c:f>Report!$K$1</c:f>
              <c:strCache>
                <c:ptCount val="1"/>
                <c:pt idx="0">
                  <c:v>Total</c:v>
                </c:pt>
              </c:strCache>
            </c:strRef>
          </c:tx>
          <c:spPr>
            <a:ln>
              <a:noFill/>
            </a:ln>
          </c:spPr>
          <c:explosion val="4"/>
          <c:dPt>
            <c:idx val="0"/>
            <c:bubble3D val="0"/>
            <c:spPr>
              <a:solidFill>
                <a:srgbClr val="002060"/>
              </a:solidFill>
              <a:ln w="19050">
                <a:noFill/>
              </a:ln>
              <a:effectLst/>
            </c:spPr>
            <c:extLst>
              <c:ext xmlns:c16="http://schemas.microsoft.com/office/drawing/2014/chart" uri="{C3380CC4-5D6E-409C-BE32-E72D297353CC}">
                <c16:uniqueId val="{00000001-206B-4910-ADC9-5C070AD2C130}"/>
              </c:ext>
            </c:extLst>
          </c:dPt>
          <c:dPt>
            <c:idx val="1"/>
            <c:bubble3D val="0"/>
            <c:spPr>
              <a:solidFill>
                <a:schemeClr val="tx1"/>
              </a:solidFill>
              <a:ln w="19050">
                <a:noFill/>
              </a:ln>
              <a:effectLst/>
            </c:spPr>
            <c:extLst>
              <c:ext xmlns:c16="http://schemas.microsoft.com/office/drawing/2014/chart" uri="{C3380CC4-5D6E-409C-BE32-E72D297353CC}">
                <c16:uniqueId val="{00000003-206B-4910-ADC9-5C070AD2C130}"/>
              </c:ext>
            </c:extLst>
          </c:dPt>
          <c:dPt>
            <c:idx val="2"/>
            <c:bubble3D val="0"/>
            <c:spPr>
              <a:solidFill>
                <a:schemeClr val="accent3"/>
              </a:solidFill>
              <a:ln w="19050">
                <a:noFill/>
              </a:ln>
              <a:effectLst/>
            </c:spPr>
            <c:extLst>
              <c:ext xmlns:c16="http://schemas.microsoft.com/office/drawing/2014/chart" uri="{C3380CC4-5D6E-409C-BE32-E72D297353CC}">
                <c16:uniqueId val="{00000005-206B-4910-ADC9-5C070AD2C130}"/>
              </c:ext>
            </c:extLst>
          </c:dPt>
          <c:dPt>
            <c:idx val="3"/>
            <c:bubble3D val="0"/>
            <c:spPr>
              <a:solidFill>
                <a:srgbClr val="FF0000"/>
              </a:solidFill>
              <a:ln w="19050">
                <a:noFill/>
              </a:ln>
              <a:effectLst/>
            </c:spPr>
            <c:extLst>
              <c:ext xmlns:c16="http://schemas.microsoft.com/office/drawing/2014/chart" uri="{C3380CC4-5D6E-409C-BE32-E72D297353CC}">
                <c16:uniqueId val="{00000007-206B-4910-ADC9-5C070AD2C130}"/>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ngsana New" panose="02020603050405020304" pitchFamily="18" charset="-34"/>
                    <a:ea typeface="+mn-ea"/>
                    <a:cs typeface="Angsana New" panose="02020603050405020304" pitchFamily="18" charset="-34"/>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Report!$J$2:$J$6</c:f>
              <c:strCache>
                <c:ptCount val="4"/>
                <c:pt idx="0">
                  <c:v>Warehouse A</c:v>
                </c:pt>
                <c:pt idx="1">
                  <c:v>Warehouse B</c:v>
                </c:pt>
                <c:pt idx="2">
                  <c:v>Warehouse C</c:v>
                </c:pt>
                <c:pt idx="3">
                  <c:v>Warehouse D</c:v>
                </c:pt>
              </c:strCache>
            </c:strRef>
          </c:cat>
          <c:val>
            <c:numRef>
              <c:f>Report!$K$2:$K$6</c:f>
              <c:numCache>
                <c:formatCode>General</c:formatCode>
                <c:ptCount val="4"/>
                <c:pt idx="0">
                  <c:v>582</c:v>
                </c:pt>
                <c:pt idx="1">
                  <c:v>494</c:v>
                </c:pt>
                <c:pt idx="2">
                  <c:v>510</c:v>
                </c:pt>
                <c:pt idx="3">
                  <c:v>385</c:v>
                </c:pt>
              </c:numCache>
            </c:numRef>
          </c:val>
          <c:extLst>
            <c:ext xmlns:c16="http://schemas.microsoft.com/office/drawing/2014/chart" uri="{C3380CC4-5D6E-409C-BE32-E72D297353CC}">
              <c16:uniqueId val="{00000008-206B-4910-ADC9-5C070AD2C130}"/>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[Dashboard.xlsx]Report!Total Sales by Month</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rgbClr val="FF0000"/>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spPr>
            <a:solidFill>
              <a:srgbClr val="FF0000"/>
            </a:solidFill>
            <a:ln w="9525">
              <a:noFill/>
            </a:ln>
            <a:effectLst/>
          </c:spPr>
        </c:marker>
        <c:dLbl>
          <c:idx val="0"/>
          <c:layout>
            <c:manualLayout>
              <c:x val="-5.0347844643268178E-2"/>
              <c:y val="6.90161125692621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spPr>
            <a:solidFill>
              <a:srgbClr val="FF0000"/>
            </a:solidFill>
            <a:ln w="9525">
              <a:noFill/>
            </a:ln>
            <a:effectLst/>
          </c:spPr>
        </c:marker>
        <c:dLbl>
          <c:idx val="0"/>
          <c:layout>
            <c:manualLayout>
              <c:x val="-4.8258292355348273E-2"/>
              <c:y val="-7.450240594925634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circle"/>
          <c:size val="5"/>
          <c:spPr>
            <a:solidFill>
              <a:srgbClr val="FF0000"/>
            </a:solidFill>
            <a:ln w="9525">
              <a:noFill/>
            </a:ln>
            <a:effectLst/>
          </c:spPr>
        </c:marker>
        <c:dLbl>
          <c:idx val="0"/>
          <c:layout>
            <c:manualLayout>
              <c:x val="-5.0347844643268254E-2"/>
              <c:y val="8.2905001458150981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1"/>
            </a:solidFill>
            <a:round/>
          </a:ln>
          <a:effectLst/>
        </c:spPr>
        <c:marker>
          <c:symbol val="circle"/>
          <c:size val="5"/>
          <c:spPr>
            <a:solidFill>
              <a:srgbClr val="FF0000"/>
            </a:solidFill>
            <a:ln w="9525">
              <a:noFill/>
            </a:ln>
            <a:effectLst/>
          </c:spPr>
        </c:marker>
        <c:dLbl>
          <c:idx val="0"/>
          <c:layout>
            <c:manualLayout>
              <c:x val="-5.2437396931188082E-2"/>
              <c:y val="-7.450240594925636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1"/>
            </a:solidFill>
            <a:round/>
          </a:ln>
          <a:effectLst/>
        </c:spPr>
        <c:marker>
          <c:symbol val="circle"/>
          <c:size val="5"/>
          <c:spPr>
            <a:solidFill>
              <a:srgbClr val="FF0000"/>
            </a:solidFill>
            <a:ln w="9525">
              <a:noFill/>
            </a:ln>
            <a:effectLst/>
          </c:spPr>
        </c:marker>
        <c:dLbl>
          <c:idx val="0"/>
          <c:layout>
            <c:manualLayout>
              <c:x val="-4.4079187779508547E-2"/>
              <c:y val="-6.524314668999708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1"/>
            </a:solidFill>
            <a:round/>
          </a:ln>
          <a:effectLst/>
        </c:spPr>
        <c:marker>
          <c:symbol val="circle"/>
          <c:size val="5"/>
          <c:spPr>
            <a:solidFill>
              <a:srgbClr val="FF0000"/>
            </a:solidFill>
            <a:ln w="9525">
              <a:noFill/>
            </a:ln>
            <a:effectLst/>
          </c:spPr>
        </c:marker>
        <c:dLbl>
          <c:idx val="0"/>
          <c:layout>
            <c:manualLayout>
              <c:x val="-5.4526949219107987E-2"/>
              <c:y val="-6.9872776319626712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circle"/>
          <c:size val="5"/>
          <c:spPr>
            <a:solidFill>
              <a:srgbClr val="FF0000"/>
            </a:solidFill>
            <a:ln w="9525">
              <a:noFill/>
            </a:ln>
            <a:effectLst/>
          </c:spPr>
        </c:marker>
        <c:dLbl>
          <c:idx val="0"/>
          <c:layout>
            <c:manualLayout>
              <c:x val="-5.0347844643268178E-2"/>
              <c:y val="7.827537182852134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solidFill>
            <a:round/>
          </a:ln>
          <a:effectLst/>
        </c:spPr>
        <c:marker>
          <c:symbol val="circle"/>
          <c:size val="5"/>
          <c:spPr>
            <a:solidFill>
              <a:srgbClr val="FF0000"/>
            </a:solidFill>
            <a:ln w="9525">
              <a:noFill/>
            </a:ln>
            <a:effectLst/>
          </c:spPr>
        </c:marker>
        <c:dLbl>
          <c:idx val="0"/>
          <c:layout>
            <c:manualLayout>
              <c:x val="-4.4079187779508484E-2"/>
              <c:y val="-6.524314668999708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tx1"/>
            </a:solidFill>
            <a:round/>
          </a:ln>
          <a:effectLst/>
        </c:spPr>
        <c:marker>
          <c:symbol val="circle"/>
          <c:size val="5"/>
          <c:spPr>
            <a:solidFill>
              <a:srgbClr val="FF0000"/>
            </a:solidFill>
            <a:ln w="9525">
              <a:noFill/>
            </a:ln>
            <a:effectLst/>
          </c:spPr>
        </c:marker>
        <c:dLbl>
          <c:idx val="0"/>
          <c:layout>
            <c:manualLayout>
              <c:x val="-5.4526949219107987E-2"/>
              <c:y val="-7.450240594925634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1"/>
            </a:solidFill>
            <a:round/>
          </a:ln>
          <a:effectLst/>
        </c:spPr>
        <c:marker>
          <c:symbol val="circle"/>
          <c:size val="5"/>
          <c:spPr>
            <a:solidFill>
              <a:srgbClr val="FF0000"/>
            </a:solidFill>
            <a:ln w="9525">
              <a:noFill/>
            </a:ln>
            <a:effectLst/>
          </c:spPr>
        </c:marker>
        <c:dLbl>
          <c:idx val="0"/>
          <c:layout>
            <c:manualLayout>
              <c:x val="-8.3919216921359119E-2"/>
              <c:y val="2.271981627296570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1"/>
            </a:solidFill>
            <a:round/>
          </a:ln>
          <a:effectLst/>
        </c:spPr>
        <c:marker>
          <c:symbol val="circle"/>
          <c:size val="5"/>
          <c:spPr>
            <a:solidFill>
              <a:srgbClr val="FF0000"/>
            </a:solidFill>
            <a:ln w="9525">
              <a:noFill/>
            </a:ln>
            <a:effectLst/>
          </c:spPr>
        </c:marker>
        <c:dLbl>
          <c:idx val="0"/>
          <c:layout>
            <c:manualLayout>
              <c:x val="-4.8817206459447794E-2"/>
              <c:y val="-0.287465368912219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tx1"/>
            </a:solidFill>
            <a:round/>
          </a:ln>
          <a:effectLst/>
        </c:spPr>
        <c:marker>
          <c:symbol val="circle"/>
          <c:size val="5"/>
          <c:spPr>
            <a:solidFill>
              <a:srgbClr val="FF0000"/>
            </a:solidFill>
            <a:ln w="9525">
              <a:noFill/>
            </a:ln>
            <a:effectLst/>
          </c:spPr>
        </c:marker>
        <c:dLbl>
          <c:idx val="0"/>
          <c:layout>
            <c:manualLayout>
              <c:x val="-4.8258292355348426E-2"/>
              <c:y val="-7.4502405949256348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Report!$E$1</c:f>
              <c:strCache>
                <c:ptCount val="1"/>
                <c:pt idx="0">
                  <c:v>Total</c:v>
                </c:pt>
              </c:strCache>
            </c:strRef>
          </c:tx>
          <c:spPr>
            <a:ln w="28575" cap="rnd">
              <a:solidFill>
                <a:schemeClr val="tx1"/>
              </a:solidFill>
              <a:round/>
            </a:ln>
            <a:effectLst/>
          </c:spPr>
          <c:marker>
            <c:symbol val="circle"/>
            <c:size val="5"/>
            <c:spPr>
              <a:solidFill>
                <a:srgbClr val="FF0000"/>
              </a:solidFill>
              <a:ln w="9525">
                <a:noFill/>
              </a:ln>
              <a:effectLst/>
            </c:spPr>
          </c:marker>
          <c:dLbls>
            <c:dLbl>
              <c:idx val="0"/>
              <c:layout>
                <c:manualLayout>
                  <c:x val="-5.4526949219107987E-2"/>
                  <c:y val="-7.45024059492563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D2F-4961-817A-40DB9899AAD1}"/>
                </c:ext>
              </c:extLst>
            </c:dLbl>
            <c:dLbl>
              <c:idx val="1"/>
              <c:layout>
                <c:manualLayout>
                  <c:x val="-4.4079187779508484E-2"/>
                  <c:y val="-6.52431466899970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D2F-4961-817A-40DB9899AAD1}"/>
                </c:ext>
              </c:extLst>
            </c:dLbl>
            <c:dLbl>
              <c:idx val="2"/>
              <c:layout>
                <c:manualLayout>
                  <c:x val="-5.0347844643268178E-2"/>
                  <c:y val="7.827537182852134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D2F-4961-817A-40DB9899AAD1}"/>
                </c:ext>
              </c:extLst>
            </c:dLbl>
            <c:dLbl>
              <c:idx val="3"/>
              <c:layout>
                <c:manualLayout>
                  <c:x val="-5.4526949219107987E-2"/>
                  <c:y val="-6.98727763196267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D2F-4961-817A-40DB9899AAD1}"/>
                </c:ext>
              </c:extLst>
            </c:dLbl>
            <c:dLbl>
              <c:idx val="4"/>
              <c:layout>
                <c:manualLayout>
                  <c:x val="-4.4079187779508547E-2"/>
                  <c:y val="-6.52431466899970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2F-4961-817A-40DB9899AAD1}"/>
                </c:ext>
              </c:extLst>
            </c:dLbl>
            <c:dLbl>
              <c:idx val="5"/>
              <c:layout>
                <c:manualLayout>
                  <c:x val="-5.0347844643268178E-2"/>
                  <c:y val="6.9016112569262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D2F-4961-817A-40DB9899AAD1}"/>
                </c:ext>
              </c:extLst>
            </c:dLbl>
            <c:dLbl>
              <c:idx val="6"/>
              <c:layout>
                <c:manualLayout>
                  <c:x val="-5.2437396931188082E-2"/>
                  <c:y val="-7.45024059492563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2F-4961-817A-40DB9899AAD1}"/>
                </c:ext>
              </c:extLst>
            </c:dLbl>
            <c:dLbl>
              <c:idx val="7"/>
              <c:layout>
                <c:manualLayout>
                  <c:x val="-5.0347844643268254E-2"/>
                  <c:y val="8.29050014581509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2F-4961-817A-40DB9899AAD1}"/>
                </c:ext>
              </c:extLst>
            </c:dLbl>
            <c:dLbl>
              <c:idx val="8"/>
              <c:layout>
                <c:manualLayout>
                  <c:x val="-4.8258292355348273E-2"/>
                  <c:y val="-7.45024059492563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D2F-4961-817A-40DB9899AAD1}"/>
                </c:ext>
              </c:extLst>
            </c:dLbl>
            <c:dLbl>
              <c:idx val="9"/>
              <c:layout>
                <c:manualLayout>
                  <c:x val="-4.8817206459447794E-2"/>
                  <c:y val="-0.28746536891221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D2F-4961-817A-40DB9899AAD1}"/>
                </c:ext>
              </c:extLst>
            </c:dLbl>
            <c:dLbl>
              <c:idx val="10"/>
              <c:layout>
                <c:manualLayout>
                  <c:x val="-4.8258292355348426E-2"/>
                  <c:y val="-7.450240594925634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D2F-4961-817A-40DB9899AAD1}"/>
                </c:ext>
              </c:extLst>
            </c:dLbl>
            <c:dLbl>
              <c:idx val="11"/>
              <c:layout>
                <c:manualLayout>
                  <c:x val="-8.3919216921359119E-2"/>
                  <c:y val="2.27198162729657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D2F-4961-817A-40DB9899AAD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Angsana New" panose="02020603050405020304" pitchFamily="18" charset="-34"/>
                    <a:ea typeface="+mn-ea"/>
                    <a:cs typeface="Angsana New" panose="02020603050405020304" pitchFamily="18" charset="-34"/>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Report!$E$2:$E$14</c:f>
              <c:numCache>
                <c:formatCode>"$"#,##0.00</c:formatCode>
                <c:ptCount val="12"/>
                <c:pt idx="0">
                  <c:v>41929.58</c:v>
                </c:pt>
                <c:pt idx="1">
                  <c:v>51792.21</c:v>
                </c:pt>
                <c:pt idx="2">
                  <c:v>34611.56</c:v>
                </c:pt>
                <c:pt idx="3">
                  <c:v>44994.15</c:v>
                </c:pt>
                <c:pt idx="4">
                  <c:v>45878.020000000004</c:v>
                </c:pt>
                <c:pt idx="5">
                  <c:v>18790.09</c:v>
                </c:pt>
                <c:pt idx="6">
                  <c:v>58481.259999999995</c:v>
                </c:pt>
                <c:pt idx="7">
                  <c:v>40455.1</c:v>
                </c:pt>
                <c:pt idx="8">
                  <c:v>51482.559999999998</c:v>
                </c:pt>
                <c:pt idx="9">
                  <c:v>4613.5</c:v>
                </c:pt>
                <c:pt idx="10">
                  <c:v>62235.530000000013</c:v>
                </c:pt>
                <c:pt idx="11">
                  <c:v>9945.42</c:v>
                </c:pt>
              </c:numCache>
            </c:numRef>
          </c:val>
          <c:smooth val="0"/>
          <c:extLst>
            <c:ext xmlns:c16="http://schemas.microsoft.com/office/drawing/2014/chart" uri="{C3380CC4-5D6E-409C-BE32-E72D297353CC}">
              <c16:uniqueId val="{00000000-DE8B-43A7-9FA8-F5B63F475605}"/>
            </c:ext>
          </c:extLst>
        </c:ser>
        <c:dLbls>
          <c:dLblPos val="t"/>
          <c:showLegendKey val="0"/>
          <c:showVal val="1"/>
          <c:showCatName val="0"/>
          <c:showSerName val="0"/>
          <c:showPercent val="0"/>
          <c:showBubbleSize val="0"/>
        </c:dLbls>
        <c:marker val="1"/>
        <c:smooth val="0"/>
        <c:axId val="35909520"/>
        <c:axId val="35913840"/>
      </c:lineChart>
      <c:catAx>
        <c:axId val="359095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ngsana New" panose="02020603050405020304" pitchFamily="18" charset="-34"/>
                <a:ea typeface="+mn-ea"/>
                <a:cs typeface="Angsana New" panose="02020603050405020304" pitchFamily="18" charset="-34"/>
              </a:defRPr>
            </a:pPr>
            <a:endParaRPr lang="en-US"/>
          </a:p>
        </c:txPr>
        <c:crossAx val="35913840"/>
        <c:crosses val="autoZero"/>
        <c:auto val="1"/>
        <c:lblAlgn val="ctr"/>
        <c:lblOffset val="100"/>
        <c:noMultiLvlLbl val="0"/>
      </c:catAx>
      <c:valAx>
        <c:axId val="35913840"/>
        <c:scaling>
          <c:orientation val="minMax"/>
        </c:scaling>
        <c:delete val="1"/>
        <c:axPos val="l"/>
        <c:numFmt formatCode="&quot;$&quot;#,##0.00" sourceLinked="1"/>
        <c:majorTickMark val="out"/>
        <c:minorTickMark val="none"/>
        <c:tickLblPos val="nextTo"/>
        <c:crossAx val="35909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[Dashboard.xlsx]Report!Total Quantity by Category</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Report!$B$1</c:f>
              <c:strCache>
                <c:ptCount val="1"/>
                <c:pt idx="0">
                  <c:v>Total</c:v>
                </c:pt>
              </c:strCache>
            </c:strRef>
          </c:tx>
          <c:spPr>
            <a:solidFill>
              <a:srgbClr val="FF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Report!$A$2:$A$6</c:f>
              <c:strCache>
                <c:ptCount val="4"/>
                <c:pt idx="0">
                  <c:v>Electronics</c:v>
                </c:pt>
                <c:pt idx="1">
                  <c:v>Networking</c:v>
                </c:pt>
                <c:pt idx="2">
                  <c:v>Office</c:v>
                </c:pt>
                <c:pt idx="3">
                  <c:v>Storage</c:v>
                </c:pt>
              </c:strCache>
            </c:strRef>
          </c:cat>
          <c:val>
            <c:numRef>
              <c:f>Report!$B$2:$B$6</c:f>
              <c:numCache>
                <c:formatCode>General</c:formatCode>
                <c:ptCount val="4"/>
                <c:pt idx="0">
                  <c:v>642</c:v>
                </c:pt>
                <c:pt idx="1">
                  <c:v>283</c:v>
                </c:pt>
                <c:pt idx="2">
                  <c:v>725</c:v>
                </c:pt>
                <c:pt idx="3">
                  <c:v>321</c:v>
                </c:pt>
              </c:numCache>
            </c:numRef>
          </c:val>
          <c:extLst>
            <c:ext xmlns:c16="http://schemas.microsoft.com/office/drawing/2014/chart" uri="{C3380CC4-5D6E-409C-BE32-E72D297353CC}">
              <c16:uniqueId val="{00000000-0C17-41D2-84D2-1616EBD03D12}"/>
            </c:ext>
          </c:extLst>
        </c:ser>
        <c:dLbls>
          <c:showLegendKey val="0"/>
          <c:showVal val="0"/>
          <c:showCatName val="0"/>
          <c:showSerName val="0"/>
          <c:showPercent val="0"/>
          <c:showBubbleSize val="0"/>
        </c:dLbls>
        <c:gapWidth val="100"/>
        <c:overlap val="-24"/>
        <c:axId val="35907120"/>
        <c:axId val="35897040"/>
      </c:barChart>
      <c:catAx>
        <c:axId val="35907120"/>
        <c:scaling>
          <c:orientation val="minMax"/>
        </c:scaling>
        <c:delete val="0"/>
        <c:axPos val="b"/>
        <c:numFmt formatCode="General" sourceLinked="1"/>
        <c:majorTickMark val="out"/>
        <c:minorTickMark val="none"/>
        <c:tickLblPos val="nextTo"/>
        <c:spPr>
          <a:noFill/>
          <a:ln w="12700"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Angsana New" panose="02020603050405020304" pitchFamily="18" charset="-34"/>
                <a:ea typeface="+mn-ea"/>
                <a:cs typeface="Angsana New" panose="02020603050405020304" pitchFamily="18" charset="-34"/>
              </a:defRPr>
            </a:pPr>
            <a:endParaRPr lang="en-US"/>
          </a:p>
        </c:txPr>
        <c:crossAx val="35897040"/>
        <c:crosses val="autoZero"/>
        <c:auto val="1"/>
        <c:lblAlgn val="ctr"/>
        <c:lblOffset val="100"/>
        <c:noMultiLvlLbl val="0"/>
      </c:catAx>
      <c:valAx>
        <c:axId val="35897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ngsana New" panose="02020603050405020304" pitchFamily="18" charset="-34"/>
                <a:ea typeface="+mn-ea"/>
                <a:cs typeface="Angsana New" panose="02020603050405020304" pitchFamily="18" charset="-34"/>
              </a:defRPr>
            </a:pPr>
            <a:endParaRPr lang="en-US"/>
          </a:p>
        </c:txPr>
        <c:crossAx val="3590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hyperlink" Target="#Report!A1"/></Relationships>
</file>

<file path=xl/drawings/drawing1.xml><?xml version="1.0" encoding="utf-8"?>
<xdr:wsDr xmlns:xdr="http://schemas.openxmlformats.org/drawingml/2006/spreadsheetDrawing" xmlns:a="http://schemas.openxmlformats.org/drawingml/2006/main">
  <xdr:twoCellAnchor>
    <xdr:from>
      <xdr:col>0</xdr:col>
      <xdr:colOff>122826</xdr:colOff>
      <xdr:row>0</xdr:row>
      <xdr:rowOff>120468</xdr:rowOff>
    </xdr:from>
    <xdr:to>
      <xdr:col>24</xdr:col>
      <xdr:colOff>204106</xdr:colOff>
      <xdr:row>39</xdr:row>
      <xdr:rowOff>104321</xdr:rowOff>
    </xdr:to>
    <xdr:sp macro="" textlink="">
      <xdr:nvSpPr>
        <xdr:cNvPr id="2" name="Rectangle: Rounded Corners 1">
          <a:extLst>
            <a:ext uri="{FF2B5EF4-FFF2-40B4-BE49-F238E27FC236}">
              <a16:creationId xmlns:a16="http://schemas.microsoft.com/office/drawing/2014/main" id="{CBB53E3F-2B23-2138-117B-2B8785DA2931}"/>
            </a:ext>
          </a:extLst>
        </xdr:cNvPr>
        <xdr:cNvSpPr/>
      </xdr:nvSpPr>
      <xdr:spPr>
        <a:xfrm>
          <a:off x="122826" y="120468"/>
          <a:ext cx="15430137" cy="7059567"/>
        </a:xfrm>
        <a:prstGeom prst="roundRect">
          <a:avLst>
            <a:gd name="adj" fmla="val 3301"/>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258536</xdr:colOff>
      <xdr:row>1</xdr:row>
      <xdr:rowOff>26126</xdr:rowOff>
    </xdr:from>
    <xdr:to>
      <xdr:col>4</xdr:col>
      <xdr:colOff>158751</xdr:colOff>
      <xdr:row>39</xdr:row>
      <xdr:rowOff>25401</xdr:rowOff>
    </xdr:to>
    <xdr:sp macro="" textlink="">
      <xdr:nvSpPr>
        <xdr:cNvPr id="3" name="Rectangle: Rounded Corners 2">
          <a:extLst>
            <a:ext uri="{FF2B5EF4-FFF2-40B4-BE49-F238E27FC236}">
              <a16:creationId xmlns:a16="http://schemas.microsoft.com/office/drawing/2014/main" id="{5CC5CA94-352F-4111-8DD6-FA39F6C55E0D}"/>
            </a:ext>
          </a:extLst>
        </xdr:cNvPr>
        <xdr:cNvSpPr/>
      </xdr:nvSpPr>
      <xdr:spPr>
        <a:xfrm>
          <a:off x="258536" y="207555"/>
          <a:ext cx="2458358" cy="6893560"/>
        </a:xfrm>
        <a:prstGeom prst="roundRect">
          <a:avLst>
            <a:gd name="adj" fmla="val 3865"/>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273048</xdr:colOff>
      <xdr:row>0</xdr:row>
      <xdr:rowOff>127001</xdr:rowOff>
    </xdr:from>
    <xdr:to>
      <xdr:col>8</xdr:col>
      <xdr:colOff>621392</xdr:colOff>
      <xdr:row>7</xdr:row>
      <xdr:rowOff>159840</xdr:rowOff>
    </xdr:to>
    <xdr:grpSp>
      <xdr:nvGrpSpPr>
        <xdr:cNvPr id="21" name="Group 20">
          <a:extLst>
            <a:ext uri="{FF2B5EF4-FFF2-40B4-BE49-F238E27FC236}">
              <a16:creationId xmlns:a16="http://schemas.microsoft.com/office/drawing/2014/main" id="{75236C4B-B3E0-5A27-F8DF-0A1E782CE700}"/>
            </a:ext>
          </a:extLst>
        </xdr:cNvPr>
        <xdr:cNvGrpSpPr/>
      </xdr:nvGrpSpPr>
      <xdr:grpSpPr>
        <a:xfrm>
          <a:off x="2831191" y="127001"/>
          <a:ext cx="2906487" cy="1302839"/>
          <a:chOff x="2831192" y="178526"/>
          <a:chExt cx="2491922" cy="1302839"/>
        </a:xfrm>
      </xdr:grpSpPr>
      <xdr:sp macro="" textlink="">
        <xdr:nvSpPr>
          <xdr:cNvPr id="4" name="Rectangle: Rounded Corners 3">
            <a:extLst>
              <a:ext uri="{FF2B5EF4-FFF2-40B4-BE49-F238E27FC236}">
                <a16:creationId xmlns:a16="http://schemas.microsoft.com/office/drawing/2014/main" id="{847E06AE-5144-435A-8611-BC8BC6B65CAC}"/>
              </a:ext>
            </a:extLst>
          </xdr:cNvPr>
          <xdr:cNvSpPr/>
        </xdr:nvSpPr>
        <xdr:spPr>
          <a:xfrm>
            <a:off x="2864756" y="249463"/>
            <a:ext cx="2458358" cy="1085669"/>
          </a:xfrm>
          <a:prstGeom prst="roundRect">
            <a:avLst>
              <a:gd name="adj" fmla="val 3865"/>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eport!AC2">
        <xdr:nvSpPr>
          <xdr:cNvPr id="9" name="Rectangle: Rounded Corners 8">
            <a:extLst>
              <a:ext uri="{FF2B5EF4-FFF2-40B4-BE49-F238E27FC236}">
                <a16:creationId xmlns:a16="http://schemas.microsoft.com/office/drawing/2014/main" id="{1B9BAFB7-D98A-4485-ACF0-A6B5DA01FDC8}"/>
              </a:ext>
            </a:extLst>
          </xdr:cNvPr>
          <xdr:cNvSpPr/>
        </xdr:nvSpPr>
        <xdr:spPr>
          <a:xfrm>
            <a:off x="2831192" y="595812"/>
            <a:ext cx="2458358"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487F540-3E23-4EAD-A798-B781E4D2D360}" type="TxLink">
              <a:rPr lang="en-US" sz="3200" b="1" i="0" u="none" strike="noStrike" baseline="0">
                <a:solidFill>
                  <a:srgbClr val="000000"/>
                </a:solidFill>
                <a:latin typeface="Angsana New"/>
                <a:cs typeface="Angsana New"/>
              </a:rPr>
              <a:pPr algn="ctr"/>
              <a:t>100</a:t>
            </a:fld>
            <a:endParaRPr lang="en-US" sz="4400" b="1" baseline="0">
              <a:solidFill>
                <a:schemeClr val="tx1"/>
              </a:solidFill>
              <a:latin typeface="Angsana New" panose="02020603050405020304" pitchFamily="18" charset="-34"/>
              <a:cs typeface="Angsana New" panose="02020603050405020304" pitchFamily="18" charset="-34"/>
            </a:endParaRPr>
          </a:p>
        </xdr:txBody>
      </xdr:sp>
      <xdr:sp macro="" textlink="">
        <xdr:nvSpPr>
          <xdr:cNvPr id="10" name="Rectangle: Rounded Corners 9">
            <a:extLst>
              <a:ext uri="{FF2B5EF4-FFF2-40B4-BE49-F238E27FC236}">
                <a16:creationId xmlns:a16="http://schemas.microsoft.com/office/drawing/2014/main" id="{BD3CB6C8-6358-4318-9801-2A8E0D9F57A4}"/>
              </a:ext>
            </a:extLst>
          </xdr:cNvPr>
          <xdr:cNvSpPr/>
        </xdr:nvSpPr>
        <xdr:spPr>
          <a:xfrm>
            <a:off x="2831192" y="178526"/>
            <a:ext cx="2458358"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b="1" baseline="0">
                <a:solidFill>
                  <a:schemeClr val="tx1"/>
                </a:solidFill>
                <a:latin typeface="Angsana New" panose="02020603050405020304" pitchFamily="18" charset="-34"/>
                <a:ea typeface="+mn-ea"/>
                <a:cs typeface="Angsana New" panose="02020603050405020304" pitchFamily="18" charset="-34"/>
              </a:rPr>
              <a:t> Total Orders</a:t>
            </a:r>
          </a:p>
        </xdr:txBody>
      </xdr:sp>
    </xdr:grpSp>
    <xdr:clientData/>
  </xdr:twoCellAnchor>
  <xdr:twoCellAnchor>
    <xdr:from>
      <xdr:col>8</xdr:col>
      <xdr:colOff>594178</xdr:colOff>
      <xdr:row>0</xdr:row>
      <xdr:rowOff>127001</xdr:rowOff>
    </xdr:from>
    <xdr:to>
      <xdr:col>14</xdr:col>
      <xdr:colOff>68036</xdr:colOff>
      <xdr:row>8</xdr:row>
      <xdr:rowOff>60054</xdr:rowOff>
    </xdr:to>
    <xdr:grpSp>
      <xdr:nvGrpSpPr>
        <xdr:cNvPr id="40" name="Group 39">
          <a:extLst>
            <a:ext uri="{FF2B5EF4-FFF2-40B4-BE49-F238E27FC236}">
              <a16:creationId xmlns:a16="http://schemas.microsoft.com/office/drawing/2014/main" id="{9959C09B-934A-D063-9CF2-59001AE723D4}"/>
            </a:ext>
          </a:extLst>
        </xdr:cNvPr>
        <xdr:cNvGrpSpPr/>
      </xdr:nvGrpSpPr>
      <xdr:grpSpPr>
        <a:xfrm>
          <a:off x="5710464" y="127001"/>
          <a:ext cx="3311072" cy="1384482"/>
          <a:chOff x="5505449" y="172176"/>
          <a:chExt cx="2735944" cy="1384482"/>
        </a:xfrm>
      </xdr:grpSpPr>
      <xdr:sp macro="" textlink="">
        <xdr:nvSpPr>
          <xdr:cNvPr id="12" name="Rectangle: Rounded Corners 11">
            <a:extLst>
              <a:ext uri="{FF2B5EF4-FFF2-40B4-BE49-F238E27FC236}">
                <a16:creationId xmlns:a16="http://schemas.microsoft.com/office/drawing/2014/main" id="{DC654C08-C6F7-4F91-B1B2-9A4F725EE3EF}"/>
              </a:ext>
            </a:extLst>
          </xdr:cNvPr>
          <xdr:cNvSpPr/>
        </xdr:nvSpPr>
        <xdr:spPr>
          <a:xfrm>
            <a:off x="5742564" y="244928"/>
            <a:ext cx="2254808" cy="1074783"/>
          </a:xfrm>
          <a:prstGeom prst="roundRect">
            <a:avLst>
              <a:gd name="adj" fmla="val 3865"/>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eport!AD2">
        <xdr:nvSpPr>
          <xdr:cNvPr id="13" name="Rectangle: Rounded Corners 12">
            <a:extLst>
              <a:ext uri="{FF2B5EF4-FFF2-40B4-BE49-F238E27FC236}">
                <a16:creationId xmlns:a16="http://schemas.microsoft.com/office/drawing/2014/main" id="{0FD93BDE-F53B-41C1-A4C1-856BA86612F3}"/>
              </a:ext>
            </a:extLst>
          </xdr:cNvPr>
          <xdr:cNvSpPr/>
        </xdr:nvSpPr>
        <xdr:spPr>
          <a:xfrm>
            <a:off x="5505449" y="671105"/>
            <a:ext cx="2735944"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4AB0DCF-9C91-4487-9AEF-0EA9F6A89B18}" type="TxLink">
              <a:rPr lang="en-US" sz="3200" b="1" i="0" u="none" strike="noStrike" baseline="0">
                <a:solidFill>
                  <a:srgbClr val="000000"/>
                </a:solidFill>
                <a:latin typeface="Angsana New"/>
                <a:cs typeface="Angsana New"/>
              </a:rPr>
              <a:pPr algn="ctr"/>
              <a:t>1971</a:t>
            </a:fld>
            <a:endParaRPr lang="en-US" sz="4400" b="1" baseline="0">
              <a:solidFill>
                <a:schemeClr val="tx1"/>
              </a:solidFill>
              <a:latin typeface="Angsana New" panose="02020603050405020304" pitchFamily="18" charset="-34"/>
              <a:cs typeface="Angsana New" panose="02020603050405020304" pitchFamily="18" charset="-34"/>
            </a:endParaRPr>
          </a:p>
        </xdr:txBody>
      </xdr:sp>
      <xdr:sp macro="" textlink="">
        <xdr:nvSpPr>
          <xdr:cNvPr id="14" name="Rectangle: Rounded Corners 13">
            <a:extLst>
              <a:ext uri="{FF2B5EF4-FFF2-40B4-BE49-F238E27FC236}">
                <a16:creationId xmlns:a16="http://schemas.microsoft.com/office/drawing/2014/main" id="{50D959B8-A180-4758-8008-F8619E91C2CE}"/>
              </a:ext>
            </a:extLst>
          </xdr:cNvPr>
          <xdr:cNvSpPr/>
        </xdr:nvSpPr>
        <xdr:spPr>
          <a:xfrm>
            <a:off x="5505449" y="172176"/>
            <a:ext cx="2735944"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b="1" baseline="0">
                <a:solidFill>
                  <a:schemeClr val="tx1"/>
                </a:solidFill>
                <a:latin typeface="Angsana New" panose="02020603050405020304" pitchFamily="18" charset="-34"/>
                <a:ea typeface="+mn-ea"/>
                <a:cs typeface="Angsana New" panose="02020603050405020304" pitchFamily="18" charset="-34"/>
              </a:rPr>
              <a:t>Total Quantity</a:t>
            </a:r>
          </a:p>
        </xdr:txBody>
      </xdr:sp>
    </xdr:grpSp>
    <xdr:clientData/>
  </xdr:twoCellAnchor>
  <xdr:twoCellAnchor>
    <xdr:from>
      <xdr:col>14</xdr:col>
      <xdr:colOff>40822</xdr:colOff>
      <xdr:row>0</xdr:row>
      <xdr:rowOff>127001</xdr:rowOff>
    </xdr:from>
    <xdr:to>
      <xdr:col>18</xdr:col>
      <xdr:colOff>489857</xdr:colOff>
      <xdr:row>8</xdr:row>
      <xdr:rowOff>60054</xdr:rowOff>
    </xdr:to>
    <xdr:grpSp>
      <xdr:nvGrpSpPr>
        <xdr:cNvPr id="23" name="Group 22">
          <a:extLst>
            <a:ext uri="{FF2B5EF4-FFF2-40B4-BE49-F238E27FC236}">
              <a16:creationId xmlns:a16="http://schemas.microsoft.com/office/drawing/2014/main" id="{CEEB9965-E863-059E-64CC-3914F533C9D0}"/>
            </a:ext>
          </a:extLst>
        </xdr:cNvPr>
        <xdr:cNvGrpSpPr/>
      </xdr:nvGrpSpPr>
      <xdr:grpSpPr>
        <a:xfrm>
          <a:off x="8994322" y="127001"/>
          <a:ext cx="3007178" cy="1384482"/>
          <a:chOff x="8173357" y="158751"/>
          <a:chExt cx="2491923" cy="1384482"/>
        </a:xfrm>
      </xdr:grpSpPr>
      <xdr:sp macro="" textlink="">
        <xdr:nvSpPr>
          <xdr:cNvPr id="15" name="Rectangle: Rounded Corners 14">
            <a:extLst>
              <a:ext uri="{FF2B5EF4-FFF2-40B4-BE49-F238E27FC236}">
                <a16:creationId xmlns:a16="http://schemas.microsoft.com/office/drawing/2014/main" id="{FCC2E475-0D21-4C42-906E-75636811E5F8}"/>
              </a:ext>
            </a:extLst>
          </xdr:cNvPr>
          <xdr:cNvSpPr/>
        </xdr:nvSpPr>
        <xdr:spPr>
          <a:xfrm>
            <a:off x="8206922" y="231322"/>
            <a:ext cx="2458358" cy="1074964"/>
          </a:xfrm>
          <a:prstGeom prst="roundRect">
            <a:avLst>
              <a:gd name="adj" fmla="val 3865"/>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eport!AA2">
        <xdr:nvSpPr>
          <xdr:cNvPr id="16" name="Rectangle: Rounded Corners 15">
            <a:extLst>
              <a:ext uri="{FF2B5EF4-FFF2-40B4-BE49-F238E27FC236}">
                <a16:creationId xmlns:a16="http://schemas.microsoft.com/office/drawing/2014/main" id="{E91957F9-D564-4BD4-8EF7-3D014561A402}"/>
              </a:ext>
            </a:extLst>
          </xdr:cNvPr>
          <xdr:cNvSpPr/>
        </xdr:nvSpPr>
        <xdr:spPr>
          <a:xfrm>
            <a:off x="8173357" y="657680"/>
            <a:ext cx="2458358"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92EA60E-F7F2-466A-AD4D-48A808D06D09}" type="TxLink">
              <a:rPr lang="en-US" sz="3200" b="1" i="0" u="none" strike="noStrike" baseline="0">
                <a:solidFill>
                  <a:srgbClr val="000000"/>
                </a:solidFill>
                <a:latin typeface="Angsana New"/>
                <a:cs typeface="Angsana New"/>
              </a:rPr>
              <a:pPr algn="ctr"/>
              <a:t>$465,208.98</a:t>
            </a:fld>
            <a:endParaRPr lang="en-US" sz="4400" b="1" baseline="0">
              <a:solidFill>
                <a:schemeClr val="tx1"/>
              </a:solidFill>
              <a:latin typeface="Angsana New" panose="02020603050405020304" pitchFamily="18" charset="-34"/>
              <a:cs typeface="Angsana New" panose="02020603050405020304" pitchFamily="18" charset="-34"/>
            </a:endParaRPr>
          </a:p>
        </xdr:txBody>
      </xdr:sp>
      <xdr:sp macro="" textlink="">
        <xdr:nvSpPr>
          <xdr:cNvPr id="17" name="Rectangle: Rounded Corners 16">
            <a:extLst>
              <a:ext uri="{FF2B5EF4-FFF2-40B4-BE49-F238E27FC236}">
                <a16:creationId xmlns:a16="http://schemas.microsoft.com/office/drawing/2014/main" id="{691F43A2-CCC2-4553-B111-853C1B195A7A}"/>
              </a:ext>
            </a:extLst>
          </xdr:cNvPr>
          <xdr:cNvSpPr/>
        </xdr:nvSpPr>
        <xdr:spPr>
          <a:xfrm>
            <a:off x="8173357" y="158751"/>
            <a:ext cx="2458358"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b="1" baseline="0">
                <a:solidFill>
                  <a:schemeClr val="tx1"/>
                </a:solidFill>
                <a:latin typeface="Angsana New" panose="02020603050405020304" pitchFamily="18" charset="-34"/>
                <a:ea typeface="+mn-ea"/>
                <a:cs typeface="Angsana New" panose="02020603050405020304" pitchFamily="18" charset="-34"/>
              </a:rPr>
              <a:t>Total Sales</a:t>
            </a:r>
          </a:p>
        </xdr:txBody>
      </xdr:sp>
    </xdr:grpSp>
    <xdr:clientData/>
  </xdr:twoCellAnchor>
  <xdr:twoCellAnchor>
    <xdr:from>
      <xdr:col>19</xdr:col>
      <xdr:colOff>36285</xdr:colOff>
      <xdr:row>0</xdr:row>
      <xdr:rowOff>127001</xdr:rowOff>
    </xdr:from>
    <xdr:to>
      <xdr:col>23</xdr:col>
      <xdr:colOff>467178</xdr:colOff>
      <xdr:row>8</xdr:row>
      <xdr:rowOff>60054</xdr:rowOff>
    </xdr:to>
    <xdr:grpSp>
      <xdr:nvGrpSpPr>
        <xdr:cNvPr id="24" name="Group 23">
          <a:extLst>
            <a:ext uri="{FF2B5EF4-FFF2-40B4-BE49-F238E27FC236}">
              <a16:creationId xmlns:a16="http://schemas.microsoft.com/office/drawing/2014/main" id="{A1C85D50-7117-6B51-01DF-BD366DCE4139}"/>
            </a:ext>
          </a:extLst>
        </xdr:cNvPr>
        <xdr:cNvGrpSpPr/>
      </xdr:nvGrpSpPr>
      <xdr:grpSpPr>
        <a:xfrm>
          <a:off x="12187464" y="127001"/>
          <a:ext cx="2989035" cy="1384482"/>
          <a:chOff x="10938328" y="138794"/>
          <a:chExt cx="2491923" cy="1384482"/>
        </a:xfrm>
      </xdr:grpSpPr>
      <xdr:sp macro="" textlink="">
        <xdr:nvSpPr>
          <xdr:cNvPr id="18" name="Rectangle: Rounded Corners 17">
            <a:extLst>
              <a:ext uri="{FF2B5EF4-FFF2-40B4-BE49-F238E27FC236}">
                <a16:creationId xmlns:a16="http://schemas.microsoft.com/office/drawing/2014/main" id="{EA81F175-DCEE-4AED-9B8B-DD964ED05564}"/>
              </a:ext>
            </a:extLst>
          </xdr:cNvPr>
          <xdr:cNvSpPr/>
        </xdr:nvSpPr>
        <xdr:spPr>
          <a:xfrm>
            <a:off x="10971893" y="224972"/>
            <a:ext cx="2458358" cy="1056821"/>
          </a:xfrm>
          <a:prstGeom prst="roundRect">
            <a:avLst>
              <a:gd name="adj" fmla="val 3865"/>
            </a:avLst>
          </a:prstGeom>
          <a:solidFill>
            <a:schemeClr val="accent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Report!AB2">
        <xdr:nvSpPr>
          <xdr:cNvPr id="19" name="Rectangle: Rounded Corners 18">
            <a:extLst>
              <a:ext uri="{FF2B5EF4-FFF2-40B4-BE49-F238E27FC236}">
                <a16:creationId xmlns:a16="http://schemas.microsoft.com/office/drawing/2014/main" id="{88E25CCC-D0F9-4BD8-8D29-3CD5B632382E}"/>
              </a:ext>
            </a:extLst>
          </xdr:cNvPr>
          <xdr:cNvSpPr/>
        </xdr:nvSpPr>
        <xdr:spPr>
          <a:xfrm>
            <a:off x="10938328" y="637723"/>
            <a:ext cx="2458358"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306C49A-B5D9-4C6A-B937-5D461F6AF8B0}" type="TxLink">
              <a:rPr lang="en-US" sz="3200" b="1" i="0" u="none" strike="noStrike" baseline="0">
                <a:solidFill>
                  <a:srgbClr val="000000"/>
                </a:solidFill>
                <a:latin typeface="Angsana New"/>
                <a:cs typeface="Angsana New"/>
              </a:rPr>
              <a:pPr algn="ctr"/>
              <a:t>$4,652.09</a:t>
            </a:fld>
            <a:endParaRPr lang="en-US" sz="4400" b="1" baseline="0">
              <a:solidFill>
                <a:schemeClr val="tx1"/>
              </a:solidFill>
              <a:latin typeface="Angsana New" panose="02020603050405020304" pitchFamily="18" charset="-34"/>
              <a:cs typeface="Angsana New" panose="02020603050405020304" pitchFamily="18" charset="-34"/>
            </a:endParaRPr>
          </a:p>
        </xdr:txBody>
      </xdr:sp>
      <xdr:sp macro="" textlink="">
        <xdr:nvSpPr>
          <xdr:cNvPr id="20" name="Rectangle: Rounded Corners 19">
            <a:extLst>
              <a:ext uri="{FF2B5EF4-FFF2-40B4-BE49-F238E27FC236}">
                <a16:creationId xmlns:a16="http://schemas.microsoft.com/office/drawing/2014/main" id="{947F675D-8005-4293-9DD8-902668CA93D1}"/>
              </a:ext>
            </a:extLst>
          </xdr:cNvPr>
          <xdr:cNvSpPr/>
        </xdr:nvSpPr>
        <xdr:spPr>
          <a:xfrm>
            <a:off x="10938328" y="138794"/>
            <a:ext cx="2458358" cy="885553"/>
          </a:xfrm>
          <a:prstGeom prst="roundRect">
            <a:avLst>
              <a:gd name="adj" fmla="val 3865"/>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800" b="1" baseline="0">
                <a:solidFill>
                  <a:schemeClr val="tx1"/>
                </a:solidFill>
                <a:latin typeface="Angsana New" panose="02020603050405020304" pitchFamily="18" charset="-34"/>
                <a:ea typeface="+mn-ea"/>
                <a:cs typeface="Angsana New" panose="02020603050405020304" pitchFamily="18" charset="-34"/>
              </a:rPr>
              <a:t>Avg Sales</a:t>
            </a:r>
          </a:p>
        </xdr:txBody>
      </xdr:sp>
    </xdr:grpSp>
    <xdr:clientData/>
  </xdr:twoCellAnchor>
  <xdr:twoCellAnchor>
    <xdr:from>
      <xdr:col>14</xdr:col>
      <xdr:colOff>243010</xdr:colOff>
      <xdr:row>8</xdr:row>
      <xdr:rowOff>95818</xdr:rowOff>
    </xdr:from>
    <xdr:to>
      <xdr:col>24</xdr:col>
      <xdr:colOff>57148</xdr:colOff>
      <xdr:row>24</xdr:row>
      <xdr:rowOff>107043</xdr:rowOff>
    </xdr:to>
    <xdr:sp macro="" textlink="">
      <xdr:nvSpPr>
        <xdr:cNvPr id="5" name="Rectangle: Rounded Corners 4">
          <a:extLst>
            <a:ext uri="{FF2B5EF4-FFF2-40B4-BE49-F238E27FC236}">
              <a16:creationId xmlns:a16="http://schemas.microsoft.com/office/drawing/2014/main" id="{79B624FD-0DC6-44F3-BB2E-347701020DE1}"/>
            </a:ext>
          </a:extLst>
        </xdr:cNvPr>
        <xdr:cNvSpPr/>
      </xdr:nvSpPr>
      <xdr:spPr>
        <a:xfrm>
          <a:off x="9196510" y="1547247"/>
          <a:ext cx="6209495" cy="2914082"/>
        </a:xfrm>
        <a:prstGeom prst="roundRect">
          <a:avLst>
            <a:gd name="adj" fmla="val 3865"/>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311047</xdr:colOff>
      <xdr:row>8</xdr:row>
      <xdr:rowOff>95818</xdr:rowOff>
    </xdr:from>
    <xdr:to>
      <xdr:col>14</xdr:col>
      <xdr:colOff>125185</xdr:colOff>
      <xdr:row>24</xdr:row>
      <xdr:rowOff>107043</xdr:rowOff>
    </xdr:to>
    <xdr:sp macro="" textlink="">
      <xdr:nvSpPr>
        <xdr:cNvPr id="7" name="Rectangle: Rounded Corners 6">
          <a:extLst>
            <a:ext uri="{FF2B5EF4-FFF2-40B4-BE49-F238E27FC236}">
              <a16:creationId xmlns:a16="http://schemas.microsoft.com/office/drawing/2014/main" id="{91163C44-5322-4CB1-BBD6-61C6A61C96C2}"/>
            </a:ext>
          </a:extLst>
        </xdr:cNvPr>
        <xdr:cNvSpPr/>
      </xdr:nvSpPr>
      <xdr:spPr>
        <a:xfrm>
          <a:off x="2869190" y="1547247"/>
          <a:ext cx="6209495" cy="2914082"/>
        </a:xfrm>
        <a:prstGeom prst="roundRect">
          <a:avLst>
            <a:gd name="adj" fmla="val 3865"/>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300161</xdr:colOff>
      <xdr:row>25</xdr:row>
      <xdr:rowOff>21433</xdr:rowOff>
    </xdr:from>
    <xdr:to>
      <xdr:col>24</xdr:col>
      <xdr:colOff>40822</xdr:colOff>
      <xdr:row>39</xdr:row>
      <xdr:rowOff>13607</xdr:rowOff>
    </xdr:to>
    <xdr:sp macro="" textlink="">
      <xdr:nvSpPr>
        <xdr:cNvPr id="8" name="Rectangle: Rounded Corners 7">
          <a:extLst>
            <a:ext uri="{FF2B5EF4-FFF2-40B4-BE49-F238E27FC236}">
              <a16:creationId xmlns:a16="http://schemas.microsoft.com/office/drawing/2014/main" id="{FF7FE6A1-A6F7-4C4E-8A15-4A68FF716579}"/>
            </a:ext>
          </a:extLst>
        </xdr:cNvPr>
        <xdr:cNvSpPr/>
      </xdr:nvSpPr>
      <xdr:spPr>
        <a:xfrm>
          <a:off x="2858304" y="4557147"/>
          <a:ext cx="12531375" cy="2532174"/>
        </a:xfrm>
        <a:prstGeom prst="roundRect">
          <a:avLst>
            <a:gd name="adj" fmla="val 3865"/>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24</xdr:col>
      <xdr:colOff>231322</xdr:colOff>
      <xdr:row>0</xdr:row>
      <xdr:rowOff>122464</xdr:rowOff>
    </xdr:from>
    <xdr:to>
      <xdr:col>26</xdr:col>
      <xdr:colOff>377372</xdr:colOff>
      <xdr:row>15</xdr:row>
      <xdr:rowOff>39460</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1AC917FE-50D7-4CA3-BE02-8EC389B4D2C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580179" y="122464"/>
              <a:ext cx="1425122" cy="2638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240393</xdr:colOff>
      <xdr:row>15</xdr:row>
      <xdr:rowOff>117929</xdr:rowOff>
    </xdr:from>
    <xdr:to>
      <xdr:col>26</xdr:col>
      <xdr:colOff>440870</xdr:colOff>
      <xdr:row>23</xdr:row>
      <xdr:rowOff>167823</xdr:rowOff>
    </xdr:to>
    <mc:AlternateContent xmlns:mc="http://schemas.openxmlformats.org/markup-compatibility/2006" xmlns:a14="http://schemas.microsoft.com/office/drawing/2010/main">
      <mc:Choice Requires="a14">
        <xdr:graphicFrame macro="">
          <xdr:nvGraphicFramePr>
            <xdr:cNvPr id="22" name="Warehouse">
              <a:extLst>
                <a:ext uri="{FF2B5EF4-FFF2-40B4-BE49-F238E27FC236}">
                  <a16:creationId xmlns:a16="http://schemas.microsoft.com/office/drawing/2014/main" id="{CE1C17D6-723E-46B6-916C-DD522F1F0F0A}"/>
                </a:ext>
              </a:extLst>
            </xdr:cNvPr>
            <xdr:cNvGraphicFramePr/>
          </xdr:nvGraphicFramePr>
          <xdr:xfrm>
            <a:off x="0" y="0"/>
            <a:ext cx="0" cy="0"/>
          </xdr:xfrm>
          <a:graphic>
            <a:graphicData uri="http://schemas.microsoft.com/office/drawing/2010/slicer">
              <sle:slicer xmlns:sle="http://schemas.microsoft.com/office/drawing/2010/slicer" name="Warehouse"/>
            </a:graphicData>
          </a:graphic>
        </xdr:graphicFrame>
      </mc:Choice>
      <mc:Fallback xmlns="">
        <xdr:sp macro="" textlink="">
          <xdr:nvSpPr>
            <xdr:cNvPr id="0" name=""/>
            <xdr:cNvSpPr>
              <a:spLocks noTextEdit="1"/>
            </xdr:cNvSpPr>
          </xdr:nvSpPr>
          <xdr:spPr>
            <a:xfrm>
              <a:off x="15589250" y="2839358"/>
              <a:ext cx="1479549" cy="15013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412751</xdr:colOff>
      <xdr:row>8</xdr:row>
      <xdr:rowOff>158750</xdr:rowOff>
    </xdr:from>
    <xdr:to>
      <xdr:col>13</xdr:col>
      <xdr:colOff>625930</xdr:colOff>
      <xdr:row>23</xdr:row>
      <xdr:rowOff>180522</xdr:rowOff>
    </xdr:to>
    <xdr:graphicFrame macro="">
      <xdr:nvGraphicFramePr>
        <xdr:cNvPr id="26" name="Chart 25">
          <a:extLst>
            <a:ext uri="{FF2B5EF4-FFF2-40B4-BE49-F238E27FC236}">
              <a16:creationId xmlns:a16="http://schemas.microsoft.com/office/drawing/2014/main" id="{B7074669-55E7-49CD-A061-E0FCB33D99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344714</xdr:colOff>
      <xdr:row>8</xdr:row>
      <xdr:rowOff>136070</xdr:rowOff>
    </xdr:from>
    <xdr:to>
      <xdr:col>24</xdr:col>
      <xdr:colOff>27214</xdr:colOff>
      <xdr:row>23</xdr:row>
      <xdr:rowOff>157842</xdr:rowOff>
    </xdr:to>
    <xdr:graphicFrame macro="">
      <xdr:nvGraphicFramePr>
        <xdr:cNvPr id="27" name="Chart 26">
          <a:extLst>
            <a:ext uri="{FF2B5EF4-FFF2-40B4-BE49-F238E27FC236}">
              <a16:creationId xmlns:a16="http://schemas.microsoft.com/office/drawing/2014/main" id="{CC045DBE-2BDD-477D-8393-7DE71AE10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585108</xdr:colOff>
      <xdr:row>25</xdr:row>
      <xdr:rowOff>54429</xdr:rowOff>
    </xdr:from>
    <xdr:to>
      <xdr:col>23</xdr:col>
      <xdr:colOff>589644</xdr:colOff>
      <xdr:row>38</xdr:row>
      <xdr:rowOff>88561</xdr:rowOff>
    </xdr:to>
    <xdr:graphicFrame macro="">
      <xdr:nvGraphicFramePr>
        <xdr:cNvPr id="28" name="Chart 27">
          <a:extLst>
            <a:ext uri="{FF2B5EF4-FFF2-40B4-BE49-F238E27FC236}">
              <a16:creationId xmlns:a16="http://schemas.microsoft.com/office/drawing/2014/main" id="{29C4C862-7B9C-4A39-AAD3-1AC2589965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394607</xdr:colOff>
      <xdr:row>12</xdr:row>
      <xdr:rowOff>51968</xdr:rowOff>
    </xdr:from>
    <xdr:to>
      <xdr:col>4</xdr:col>
      <xdr:colOff>22678</xdr:colOff>
      <xdr:row>16</xdr:row>
      <xdr:rowOff>72572</xdr:rowOff>
    </xdr:to>
    <xdr:sp macro="" textlink="">
      <xdr:nvSpPr>
        <xdr:cNvPr id="30" name="Rectangle: Rounded Corners 29">
          <a:hlinkClick xmlns:r="http://schemas.openxmlformats.org/officeDocument/2006/relationships" r:id="rId4"/>
          <a:extLst>
            <a:ext uri="{FF2B5EF4-FFF2-40B4-BE49-F238E27FC236}">
              <a16:creationId xmlns:a16="http://schemas.microsoft.com/office/drawing/2014/main" id="{D944D1CD-C05F-BCAA-EE8A-D3B63152BC33}"/>
            </a:ext>
          </a:extLst>
        </xdr:cNvPr>
        <xdr:cNvSpPr/>
      </xdr:nvSpPr>
      <xdr:spPr>
        <a:xfrm>
          <a:off x="394607" y="2229111"/>
          <a:ext cx="2186214" cy="746318"/>
        </a:xfrm>
        <a:prstGeom prst="roundRect">
          <a:avLst>
            <a:gd name="adj" fmla="val 3865"/>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rgbClr val="FF0000"/>
              </a:solidFill>
              <a:latin typeface="Angsana New" panose="02020603050405020304" pitchFamily="18" charset="-34"/>
              <a:cs typeface="Angsana New" panose="02020603050405020304" pitchFamily="18" charset="-34"/>
            </a:rPr>
            <a:t>Sales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ham Ashraf" refreshedDate="46192.868418749997" backgroundQuery="1" createdVersion="8" refreshedVersion="8" minRefreshableVersion="3" recordCount="100" xr:uid="{358A2B2D-A926-4C23-8CB6-FB841F1ED83A}">
  <cacheSource type="external" connectionId="1"/>
  <cacheFields count="11">
    <cacheField name="Warehouse" numFmtId="0">
      <sharedItems count="4">
        <s v="Warehouse A"/>
        <s v="Warehouse B"/>
        <s v="Warehouse C"/>
        <s v="Warehouse D"/>
      </sharedItems>
    </cacheField>
    <cacheField name="Region" numFmtId="0">
      <sharedItems count="8">
        <s v="Aswan"/>
        <s v="Mansoura"/>
        <s v="Giza"/>
        <s v="Alexandria"/>
        <s v="Tanta"/>
        <s v="Port Said"/>
        <s v="Cairo"/>
        <s v="Luxor"/>
      </sharedItems>
    </cacheField>
    <cacheField name="Product Name" numFmtId="0">
      <sharedItems count="12">
        <s v="Power Bank"/>
        <s v="Mechanical Keyboard"/>
        <s v="Network Switch"/>
        <s v="Desk Lamp"/>
        <s v="Office Chair"/>
        <s v="Hard Drive"/>
        <s v="Wireless Mouse"/>
        <s v="Monitor Arm"/>
        <s v="USB Hub"/>
        <s v="Webcam HD"/>
        <s v="HDMI Cable"/>
        <s v="Laptop Stand"/>
      </sharedItems>
    </cacheField>
    <cacheField name="Category" numFmtId="0">
      <sharedItems count="4">
        <s v="Electronics"/>
        <s v="Office"/>
        <s v="Networking"/>
        <s v="Storage"/>
      </sharedItems>
    </cacheField>
    <cacheField name="SubCategory" numFmtId="0">
      <sharedItems count="6">
        <s v="Accessories"/>
        <s v="Stationery"/>
        <s v="Cables"/>
        <s v="Furniture"/>
        <s v="Drives"/>
        <s v="Computers"/>
      </sharedItems>
    </cacheField>
    <cacheField name="Date" numFmtId="0">
      <sharedItems containsSemiMixedTypes="0" containsNonDate="0" containsDate="1" containsString="0" minDate="2024-01-05T00:00:00" maxDate="2024-12-23T00:00:00" count="83">
        <d v="2024-06-02T00:00:00"/>
        <d v="2024-09-15T00:00:00"/>
        <d v="2024-04-14T00:00:00"/>
        <d v="2024-09-22T00:00:00"/>
        <d v="2024-08-19T00:00:00"/>
        <d v="2024-12-18T00:00:00"/>
        <d v="2024-02-15T00:00:00"/>
        <d v="2024-09-02T00:00:00"/>
        <d v="2024-02-27T00:00:00"/>
        <d v="2024-05-27T00:00:00"/>
        <d v="2024-01-08T00:00:00"/>
        <d v="2024-07-27T00:00:00"/>
        <d v="2024-11-24T00:00:00"/>
        <d v="2024-08-01T00:00:00"/>
        <d v="2024-03-23T00:00:00"/>
        <d v="2024-08-16T00:00:00"/>
        <d v="2024-02-14T00:00:00"/>
        <d v="2024-07-10T00:00:00"/>
        <d v="2024-08-28T00:00:00"/>
        <d v="2024-09-18T00:00:00"/>
        <d v="2024-12-15T00:00:00"/>
        <d v="2024-04-19T00:00:00"/>
        <d v="2024-05-01T00:00:00"/>
        <d v="2024-04-16T00:00:00"/>
        <d v="2024-11-06T00:00:00"/>
        <d v="2024-11-07T00:00:00"/>
        <d v="2024-01-17T00:00:00"/>
        <d v="2024-09-03T00:00:00"/>
        <d v="2024-04-04T00:00:00"/>
        <d v="2024-03-27T00:00:00"/>
        <d v="2024-01-09T00:00:00"/>
        <d v="2024-09-10T00:00:00"/>
        <d v="2024-09-12T00:00:00"/>
        <d v="2024-02-23T00:00:00"/>
        <d v="2024-03-06T00:00:00"/>
        <d v="2024-11-03T00:00:00"/>
        <d v="2024-05-18T00:00:00"/>
        <d v="2024-01-21T00:00:00"/>
        <d v="2024-02-20T00:00:00"/>
        <d v="2024-09-01T00:00:00"/>
        <d v="2024-05-11T00:00:00"/>
        <d v="2024-05-13T00:00:00"/>
        <d v="2024-11-26T00:00:00"/>
        <d v="2024-07-17T00:00:00"/>
        <d v="2024-11-15T00:00:00"/>
        <d v="2024-04-22T00:00:00"/>
        <d v="2024-01-25T00:00:00"/>
        <d v="2024-11-13T00:00:00"/>
        <d v="2024-09-09T00:00:00"/>
        <d v="2024-04-11T00:00:00"/>
        <d v="2024-08-13T00:00:00"/>
        <d v="2024-08-05T00:00:00"/>
        <d v="2024-03-15T00:00:00"/>
        <d v="2024-08-04T00:00:00"/>
        <d v="2024-04-02T00:00:00"/>
        <d v="2024-06-15T00:00:00"/>
        <d v="2024-04-17T00:00:00"/>
        <d v="2024-07-11T00:00:00"/>
        <d v="2024-12-21T00:00:00"/>
        <d v="2024-02-18T00:00:00"/>
        <d v="2024-07-08T00:00:00"/>
        <d v="2024-06-20T00:00:00"/>
        <d v="2024-07-19T00:00:00"/>
        <d v="2024-11-09T00:00:00"/>
        <d v="2024-03-01T00:00:00"/>
        <d v="2024-08-27T00:00:00"/>
        <d v="2024-02-08T00:00:00"/>
        <d v="2024-11-23T00:00:00"/>
        <d v="2024-01-05T00:00:00"/>
        <d v="2024-04-24T00:00:00"/>
        <d v="2024-12-22T00:00:00"/>
        <d v="2024-05-21T00:00:00"/>
        <d v="2024-10-14T00:00:00"/>
        <d v="2024-03-14T00:00:00"/>
        <d v="2024-01-27T00:00:00"/>
        <d v="2024-05-15T00:00:00"/>
        <d v="2024-07-05T00:00:00"/>
        <d v="2024-01-28T00:00:00"/>
        <d v="2024-05-14T00:00:00"/>
        <d v="2024-05-23T00:00:00"/>
        <d v="2024-05-12T00:00:00"/>
        <d v="2024-02-02T00:00:00"/>
        <d v="2024-04-03T00:00:00"/>
      </sharedItems>
      <fieldGroup par="10"/>
    </cacheField>
    <cacheField name="Quantity" numFmtId="0">
      <sharedItems containsSemiMixedTypes="0" containsString="0" containsNumber="1" containsInteger="1" minValue="1" maxValue="39" count="38">
        <n v="38"/>
        <n v="28"/>
        <n v="3"/>
        <n v="12"/>
        <n v="35"/>
        <n v="16"/>
        <n v="33"/>
        <n v="37"/>
        <n v="6"/>
        <n v="25"/>
        <n v="14"/>
        <n v="36"/>
        <n v="26"/>
        <n v="1"/>
        <n v="10"/>
        <n v="31"/>
        <n v="2"/>
        <n v="17"/>
        <n v="22"/>
        <n v="23"/>
        <n v="39"/>
        <n v="21"/>
        <n v="13"/>
        <n v="15"/>
        <n v="24"/>
        <n v="5"/>
        <n v="9"/>
        <n v="34"/>
        <n v="32"/>
        <n v="29"/>
        <n v="20"/>
        <n v="30"/>
        <n v="4"/>
        <n v="18"/>
        <n v="19"/>
        <n v="7"/>
        <n v="27"/>
        <n v="11"/>
      </sharedItems>
    </cacheField>
    <cacheField name="Unit Price" numFmtId="0">
      <sharedItems containsSemiMixedTypes="0" containsString="0" containsNumber="1" minValue="6.79" maxValue="491.03"/>
    </cacheField>
    <cacheField name="Sales" numFmtId="0">
      <sharedItems containsSemiMixedTypes="0" containsString="0" containsNumber="1" minValue="37.799999999999997" maxValue="15686.880000000001" count="100">
        <n v="1280.98"/>
        <n v="959.28"/>
        <n v="841.65000000000009"/>
        <n v="672.12"/>
        <n v="7583.0999999999995"/>
        <n v="728.32"/>
        <n v="6995.01"/>
        <n v="14637.2"/>
        <n v="2835.7200000000003"/>
        <n v="11102"/>
        <n v="5393.92"/>
        <n v="5131.08"/>
        <n v="11977"/>
        <n v="3619.88"/>
        <n v="15686.880000000001"/>
        <n v="931.06000000000006"/>
        <n v="285.56"/>
        <n v="3190.2999999999997"/>
        <n v="7579.5"/>
        <n v="213.16"/>
        <n v="4447.37"/>
        <n v="9652.24"/>
        <n v="4131.99"/>
        <n v="3173.4700000000003"/>
        <n v="2508.8999999999996"/>
        <n v="1054.6799999999998"/>
        <n v="2974.5"/>
        <n v="2514.2400000000002"/>
        <n v="259.32"/>
        <n v="10335.280000000001"/>
        <n v="271.05"/>
        <n v="7197.75"/>
        <n v="7551.39"/>
        <n v="4522.7"/>
        <n v="7850.2599999999993"/>
        <n v="3472.48"/>
        <n v="7514"/>
        <n v="1273.95"/>
        <n v="351.36"/>
        <n v="304.3"/>
        <n v="3697.11"/>
        <n v="2586.36"/>
        <n v="7345.19"/>
        <n v="7509.92"/>
        <n v="12952.3"/>
        <n v="37.799999999999997"/>
        <n v="8807.0400000000009"/>
        <n v="11293.689999999999"/>
        <n v="10898"/>
        <n v="196.91"/>
        <n v="2197.88"/>
        <n v="12844.92"/>
        <n v="3112"/>
        <n v="7596.54"/>
        <n v="10311.279999999999"/>
        <n v="51.44"/>
        <n v="11967.550000000001"/>
        <n v="1988.1000000000001"/>
        <n v="7485"/>
        <n v="1509.25"/>
        <n v="981.88"/>
        <n v="7075.2"/>
        <n v="1285.5"/>
        <n v="4576.3999999999996"/>
        <n v="6402.24"/>
        <n v="4396.91"/>
        <n v="451.28"/>
        <n v="10613.4"/>
        <n v="3976.92"/>
        <n v="9967.32"/>
        <n v="4661.84"/>
        <n v="3503.19"/>
        <n v="3539.2000000000003"/>
        <n v="2485.35"/>
        <n v="6895.71"/>
        <n v="3103.38"/>
        <n v="711.76"/>
        <n v="646.41"/>
        <n v="6282.24"/>
        <n v="14023.800000000001"/>
        <n v="4530.33"/>
        <n v="1966.39"/>
        <n v="3844.48"/>
        <n v="202.18"/>
        <n v="700.16"/>
        <n v="1266.5400000000002"/>
        <n v="3333.4"/>
        <n v="4613.5"/>
        <n v="5916.82"/>
        <n v="6677.7999999999993"/>
        <n v="1073.8799999999999"/>
        <n v="176.28"/>
        <n v="3449.79"/>
        <n v="4873.83"/>
        <n v="137.4"/>
        <n v="7772.4"/>
        <n v="3055.8999999999996"/>
        <n v="1401.6200000000001"/>
        <n v="5341.06"/>
        <n v="1902.06"/>
      </sharedItems>
    </cacheField>
    <cacheField name="Days (Date)" numFmtId="0" databaseField="0">
      <fieldGroup base="5">
        <rangePr groupBy="days" startDate="2024-01-05T00:00:00" endDate="2024-12-23T00:00:00"/>
        <groupItems count="368">
          <s v="&lt;1/5/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3/2024"/>
        </groupItems>
      </fieldGroup>
    </cacheField>
    <cacheField name="Months (Date)" numFmtId="0" databaseField="0">
      <fieldGroup base="5">
        <rangePr groupBy="months" startDate="2024-01-05T00:00:00" endDate="2024-12-23T00:00:00"/>
        <groupItems count="14">
          <s v="&lt;1/5/2024"/>
          <s v="Jan"/>
          <s v="Feb"/>
          <s v="Mar"/>
          <s v="Apr"/>
          <s v="May"/>
          <s v="Jun"/>
          <s v="Jul"/>
          <s v="Aug"/>
          <s v="Sep"/>
          <s v="Oct"/>
          <s v="Nov"/>
          <s v="Dec"/>
          <s v="&gt;12/23/2024"/>
        </groupItems>
      </fieldGroup>
    </cacheField>
  </cacheFields>
  <extLst>
    <ext xmlns:x14="http://schemas.microsoft.com/office/spreadsheetml/2009/9/main" uri="{725AE2AE-9491-48be-B2B4-4EB974FC3084}">
      <x14:pivotCacheDefinition pivotCacheId="376568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n v="33.71"/>
    <x v="0"/>
  </r>
  <r>
    <x v="0"/>
    <x v="1"/>
    <x v="1"/>
    <x v="1"/>
    <x v="1"/>
    <x v="1"/>
    <x v="1"/>
    <n v="34.26"/>
    <x v="1"/>
  </r>
  <r>
    <x v="0"/>
    <x v="2"/>
    <x v="2"/>
    <x v="2"/>
    <x v="2"/>
    <x v="2"/>
    <x v="2"/>
    <n v="280.55"/>
    <x v="2"/>
  </r>
  <r>
    <x v="0"/>
    <x v="3"/>
    <x v="0"/>
    <x v="2"/>
    <x v="2"/>
    <x v="3"/>
    <x v="3"/>
    <n v="56.01"/>
    <x v="3"/>
  </r>
  <r>
    <x v="0"/>
    <x v="1"/>
    <x v="1"/>
    <x v="2"/>
    <x v="2"/>
    <x v="4"/>
    <x v="4"/>
    <n v="216.66"/>
    <x v="4"/>
  </r>
  <r>
    <x v="0"/>
    <x v="0"/>
    <x v="3"/>
    <x v="1"/>
    <x v="3"/>
    <x v="5"/>
    <x v="5"/>
    <n v="45.52"/>
    <x v="5"/>
  </r>
  <r>
    <x v="0"/>
    <x v="4"/>
    <x v="4"/>
    <x v="3"/>
    <x v="4"/>
    <x v="6"/>
    <x v="6"/>
    <n v="211.97"/>
    <x v="6"/>
  </r>
  <r>
    <x v="0"/>
    <x v="0"/>
    <x v="4"/>
    <x v="0"/>
    <x v="0"/>
    <x v="7"/>
    <x v="7"/>
    <n v="395.6"/>
    <x v="7"/>
  </r>
  <r>
    <x v="0"/>
    <x v="0"/>
    <x v="5"/>
    <x v="2"/>
    <x v="2"/>
    <x v="8"/>
    <x v="8"/>
    <n v="472.62"/>
    <x v="8"/>
  </r>
  <r>
    <x v="0"/>
    <x v="5"/>
    <x v="6"/>
    <x v="3"/>
    <x v="4"/>
    <x v="9"/>
    <x v="9"/>
    <n v="444.08"/>
    <x v="9"/>
  </r>
  <r>
    <x v="0"/>
    <x v="0"/>
    <x v="4"/>
    <x v="0"/>
    <x v="5"/>
    <x v="10"/>
    <x v="10"/>
    <n v="385.28"/>
    <x v="10"/>
  </r>
  <r>
    <x v="0"/>
    <x v="3"/>
    <x v="0"/>
    <x v="1"/>
    <x v="1"/>
    <x v="11"/>
    <x v="11"/>
    <n v="142.53"/>
    <x v="11"/>
  </r>
  <r>
    <x v="0"/>
    <x v="3"/>
    <x v="7"/>
    <x v="3"/>
    <x v="4"/>
    <x v="12"/>
    <x v="9"/>
    <n v="479.08"/>
    <x v="12"/>
  </r>
  <r>
    <x v="0"/>
    <x v="3"/>
    <x v="8"/>
    <x v="0"/>
    <x v="5"/>
    <x v="13"/>
    <x v="0"/>
    <n v="95.26"/>
    <x v="13"/>
  </r>
  <r>
    <x v="0"/>
    <x v="4"/>
    <x v="8"/>
    <x v="2"/>
    <x v="2"/>
    <x v="14"/>
    <x v="6"/>
    <n v="475.36"/>
    <x v="14"/>
  </r>
  <r>
    <x v="0"/>
    <x v="6"/>
    <x v="2"/>
    <x v="1"/>
    <x v="1"/>
    <x v="15"/>
    <x v="12"/>
    <n v="35.81"/>
    <x v="15"/>
  </r>
  <r>
    <x v="0"/>
    <x v="2"/>
    <x v="4"/>
    <x v="0"/>
    <x v="0"/>
    <x v="16"/>
    <x v="13"/>
    <n v="285.56"/>
    <x v="16"/>
  </r>
  <r>
    <x v="0"/>
    <x v="2"/>
    <x v="3"/>
    <x v="0"/>
    <x v="0"/>
    <x v="17"/>
    <x v="14"/>
    <n v="319.02999999999997"/>
    <x v="17"/>
  </r>
  <r>
    <x v="0"/>
    <x v="0"/>
    <x v="9"/>
    <x v="0"/>
    <x v="0"/>
    <x v="18"/>
    <x v="15"/>
    <n v="244.5"/>
    <x v="18"/>
  </r>
  <r>
    <x v="0"/>
    <x v="2"/>
    <x v="1"/>
    <x v="3"/>
    <x v="4"/>
    <x v="19"/>
    <x v="16"/>
    <n v="106.58"/>
    <x v="19"/>
  </r>
  <r>
    <x v="0"/>
    <x v="0"/>
    <x v="5"/>
    <x v="2"/>
    <x v="2"/>
    <x v="20"/>
    <x v="17"/>
    <n v="261.61"/>
    <x v="20"/>
  </r>
  <r>
    <x v="0"/>
    <x v="3"/>
    <x v="10"/>
    <x v="3"/>
    <x v="4"/>
    <x v="21"/>
    <x v="12"/>
    <n v="371.24"/>
    <x v="21"/>
  </r>
  <r>
    <x v="0"/>
    <x v="1"/>
    <x v="7"/>
    <x v="1"/>
    <x v="3"/>
    <x v="22"/>
    <x v="15"/>
    <n v="133.29"/>
    <x v="22"/>
  </r>
  <r>
    <x v="0"/>
    <x v="0"/>
    <x v="5"/>
    <x v="1"/>
    <x v="3"/>
    <x v="23"/>
    <x v="15"/>
    <n v="102.37"/>
    <x v="23"/>
  </r>
  <r>
    <x v="0"/>
    <x v="1"/>
    <x v="3"/>
    <x v="1"/>
    <x v="1"/>
    <x v="24"/>
    <x v="8"/>
    <n v="418.15"/>
    <x v="24"/>
  </r>
  <r>
    <x v="0"/>
    <x v="2"/>
    <x v="5"/>
    <x v="1"/>
    <x v="1"/>
    <x v="25"/>
    <x v="18"/>
    <n v="47.94"/>
    <x v="25"/>
  </r>
  <r>
    <x v="1"/>
    <x v="7"/>
    <x v="0"/>
    <x v="3"/>
    <x v="4"/>
    <x v="26"/>
    <x v="14"/>
    <n v="297.45"/>
    <x v="26"/>
  </r>
  <r>
    <x v="1"/>
    <x v="5"/>
    <x v="3"/>
    <x v="3"/>
    <x v="4"/>
    <x v="27"/>
    <x v="11"/>
    <n v="69.84"/>
    <x v="27"/>
  </r>
  <r>
    <x v="1"/>
    <x v="6"/>
    <x v="7"/>
    <x v="1"/>
    <x v="1"/>
    <x v="28"/>
    <x v="16"/>
    <n v="129.66"/>
    <x v="28"/>
  </r>
  <r>
    <x v="1"/>
    <x v="4"/>
    <x v="10"/>
    <x v="1"/>
    <x v="3"/>
    <x v="26"/>
    <x v="19"/>
    <n v="449.36"/>
    <x v="29"/>
  </r>
  <r>
    <x v="1"/>
    <x v="7"/>
    <x v="8"/>
    <x v="2"/>
    <x v="2"/>
    <x v="29"/>
    <x v="20"/>
    <n v="6.95"/>
    <x v="30"/>
  </r>
  <r>
    <x v="1"/>
    <x v="3"/>
    <x v="8"/>
    <x v="2"/>
    <x v="2"/>
    <x v="30"/>
    <x v="21"/>
    <n v="342.75"/>
    <x v="31"/>
  </r>
  <r>
    <x v="1"/>
    <x v="5"/>
    <x v="7"/>
    <x v="0"/>
    <x v="5"/>
    <x v="16"/>
    <x v="6"/>
    <n v="228.83"/>
    <x v="32"/>
  </r>
  <r>
    <x v="1"/>
    <x v="6"/>
    <x v="4"/>
    <x v="2"/>
    <x v="2"/>
    <x v="31"/>
    <x v="22"/>
    <n v="347.9"/>
    <x v="33"/>
  </r>
  <r>
    <x v="1"/>
    <x v="5"/>
    <x v="7"/>
    <x v="2"/>
    <x v="2"/>
    <x v="32"/>
    <x v="17"/>
    <n v="461.78"/>
    <x v="34"/>
  </r>
  <r>
    <x v="1"/>
    <x v="1"/>
    <x v="8"/>
    <x v="0"/>
    <x v="0"/>
    <x v="33"/>
    <x v="5"/>
    <n v="217.03"/>
    <x v="35"/>
  </r>
  <r>
    <x v="1"/>
    <x v="1"/>
    <x v="1"/>
    <x v="3"/>
    <x v="4"/>
    <x v="34"/>
    <x v="17"/>
    <n v="442"/>
    <x v="36"/>
  </r>
  <r>
    <x v="1"/>
    <x v="5"/>
    <x v="5"/>
    <x v="1"/>
    <x v="1"/>
    <x v="35"/>
    <x v="23"/>
    <n v="84.93"/>
    <x v="37"/>
  </r>
  <r>
    <x v="1"/>
    <x v="7"/>
    <x v="0"/>
    <x v="1"/>
    <x v="1"/>
    <x v="33"/>
    <x v="24"/>
    <n v="14.64"/>
    <x v="38"/>
  </r>
  <r>
    <x v="1"/>
    <x v="5"/>
    <x v="5"/>
    <x v="1"/>
    <x v="1"/>
    <x v="3"/>
    <x v="25"/>
    <n v="60.86"/>
    <x v="39"/>
  </r>
  <r>
    <x v="1"/>
    <x v="1"/>
    <x v="1"/>
    <x v="1"/>
    <x v="3"/>
    <x v="36"/>
    <x v="26"/>
    <n v="410.79"/>
    <x v="40"/>
  </r>
  <r>
    <x v="1"/>
    <x v="4"/>
    <x v="8"/>
    <x v="3"/>
    <x v="4"/>
    <x v="37"/>
    <x v="3"/>
    <n v="215.53"/>
    <x v="41"/>
  </r>
  <r>
    <x v="1"/>
    <x v="2"/>
    <x v="6"/>
    <x v="1"/>
    <x v="3"/>
    <x v="38"/>
    <x v="17"/>
    <n v="432.07"/>
    <x v="42"/>
  </r>
  <r>
    <x v="1"/>
    <x v="5"/>
    <x v="9"/>
    <x v="1"/>
    <x v="3"/>
    <x v="39"/>
    <x v="5"/>
    <n v="469.37"/>
    <x v="43"/>
  </r>
  <r>
    <x v="1"/>
    <x v="3"/>
    <x v="6"/>
    <x v="0"/>
    <x v="5"/>
    <x v="40"/>
    <x v="27"/>
    <n v="380.95"/>
    <x v="44"/>
  </r>
  <r>
    <x v="1"/>
    <x v="4"/>
    <x v="7"/>
    <x v="1"/>
    <x v="3"/>
    <x v="41"/>
    <x v="2"/>
    <n v="12.6"/>
    <x v="45"/>
  </r>
  <r>
    <x v="1"/>
    <x v="1"/>
    <x v="4"/>
    <x v="1"/>
    <x v="1"/>
    <x v="42"/>
    <x v="28"/>
    <n v="275.22000000000003"/>
    <x v="46"/>
  </r>
  <r>
    <x v="1"/>
    <x v="7"/>
    <x v="11"/>
    <x v="0"/>
    <x v="5"/>
    <x v="43"/>
    <x v="19"/>
    <n v="491.03"/>
    <x v="47"/>
  </r>
  <r>
    <x v="1"/>
    <x v="3"/>
    <x v="1"/>
    <x v="1"/>
    <x v="1"/>
    <x v="44"/>
    <x v="9"/>
    <n v="435.92"/>
    <x v="48"/>
  </r>
  <r>
    <x v="1"/>
    <x v="4"/>
    <x v="10"/>
    <x v="0"/>
    <x v="0"/>
    <x v="36"/>
    <x v="29"/>
    <n v="6.79"/>
    <x v="49"/>
  </r>
  <r>
    <x v="1"/>
    <x v="0"/>
    <x v="7"/>
    <x v="0"/>
    <x v="5"/>
    <x v="45"/>
    <x v="19"/>
    <n v="95.56"/>
    <x v="50"/>
  </r>
  <r>
    <x v="2"/>
    <x v="0"/>
    <x v="1"/>
    <x v="1"/>
    <x v="3"/>
    <x v="21"/>
    <x v="6"/>
    <n v="389.24"/>
    <x v="51"/>
  </r>
  <r>
    <x v="2"/>
    <x v="2"/>
    <x v="1"/>
    <x v="1"/>
    <x v="1"/>
    <x v="46"/>
    <x v="30"/>
    <n v="155.6"/>
    <x v="52"/>
  </r>
  <r>
    <x v="2"/>
    <x v="1"/>
    <x v="3"/>
    <x v="3"/>
    <x v="4"/>
    <x v="17"/>
    <x v="21"/>
    <n v="361.74"/>
    <x v="53"/>
  </r>
  <r>
    <x v="2"/>
    <x v="5"/>
    <x v="11"/>
    <x v="0"/>
    <x v="0"/>
    <x v="32"/>
    <x v="1"/>
    <n v="368.26"/>
    <x v="54"/>
  </r>
  <r>
    <x v="2"/>
    <x v="3"/>
    <x v="7"/>
    <x v="3"/>
    <x v="4"/>
    <x v="38"/>
    <x v="16"/>
    <n v="25.72"/>
    <x v="55"/>
  </r>
  <r>
    <x v="2"/>
    <x v="0"/>
    <x v="0"/>
    <x v="2"/>
    <x v="2"/>
    <x v="47"/>
    <x v="4"/>
    <n v="341.93"/>
    <x v="56"/>
  </r>
  <r>
    <x v="2"/>
    <x v="5"/>
    <x v="6"/>
    <x v="0"/>
    <x v="0"/>
    <x v="48"/>
    <x v="8"/>
    <n v="331.35"/>
    <x v="57"/>
  </r>
  <r>
    <x v="2"/>
    <x v="2"/>
    <x v="11"/>
    <x v="1"/>
    <x v="3"/>
    <x v="21"/>
    <x v="31"/>
    <n v="249.5"/>
    <x v="58"/>
  </r>
  <r>
    <x v="2"/>
    <x v="7"/>
    <x v="4"/>
    <x v="0"/>
    <x v="0"/>
    <x v="49"/>
    <x v="25"/>
    <n v="301.85000000000002"/>
    <x v="59"/>
  </r>
  <r>
    <x v="2"/>
    <x v="0"/>
    <x v="2"/>
    <x v="2"/>
    <x v="2"/>
    <x v="50"/>
    <x v="32"/>
    <n v="245.47"/>
    <x v="60"/>
  </r>
  <r>
    <x v="2"/>
    <x v="2"/>
    <x v="2"/>
    <x v="1"/>
    <x v="3"/>
    <x v="51"/>
    <x v="31"/>
    <n v="235.84"/>
    <x v="61"/>
  </r>
  <r>
    <x v="2"/>
    <x v="2"/>
    <x v="10"/>
    <x v="0"/>
    <x v="0"/>
    <x v="22"/>
    <x v="31"/>
    <n v="42.85"/>
    <x v="62"/>
  </r>
  <r>
    <x v="2"/>
    <x v="5"/>
    <x v="0"/>
    <x v="0"/>
    <x v="5"/>
    <x v="52"/>
    <x v="27"/>
    <n v="134.6"/>
    <x v="63"/>
  </r>
  <r>
    <x v="2"/>
    <x v="0"/>
    <x v="3"/>
    <x v="0"/>
    <x v="0"/>
    <x v="53"/>
    <x v="28"/>
    <n v="200.07"/>
    <x v="64"/>
  </r>
  <r>
    <x v="2"/>
    <x v="3"/>
    <x v="4"/>
    <x v="1"/>
    <x v="1"/>
    <x v="43"/>
    <x v="19"/>
    <n v="191.17"/>
    <x v="65"/>
  </r>
  <r>
    <x v="2"/>
    <x v="2"/>
    <x v="6"/>
    <x v="1"/>
    <x v="3"/>
    <x v="54"/>
    <x v="13"/>
    <n v="451.28"/>
    <x v="66"/>
  </r>
  <r>
    <x v="2"/>
    <x v="4"/>
    <x v="9"/>
    <x v="1"/>
    <x v="1"/>
    <x v="55"/>
    <x v="1"/>
    <n v="379.05"/>
    <x v="67"/>
  </r>
  <r>
    <x v="2"/>
    <x v="6"/>
    <x v="1"/>
    <x v="3"/>
    <x v="4"/>
    <x v="56"/>
    <x v="33"/>
    <n v="220.94"/>
    <x v="68"/>
  </r>
  <r>
    <x v="2"/>
    <x v="0"/>
    <x v="9"/>
    <x v="0"/>
    <x v="0"/>
    <x v="57"/>
    <x v="11"/>
    <n v="276.87"/>
    <x v="69"/>
  </r>
  <r>
    <x v="2"/>
    <x v="2"/>
    <x v="5"/>
    <x v="1"/>
    <x v="1"/>
    <x v="35"/>
    <x v="34"/>
    <n v="245.36"/>
    <x v="70"/>
  </r>
  <r>
    <x v="2"/>
    <x v="3"/>
    <x v="4"/>
    <x v="1"/>
    <x v="3"/>
    <x v="58"/>
    <x v="17"/>
    <n v="206.07"/>
    <x v="71"/>
  </r>
  <r>
    <x v="2"/>
    <x v="1"/>
    <x v="4"/>
    <x v="0"/>
    <x v="0"/>
    <x v="59"/>
    <x v="10"/>
    <n v="252.8"/>
    <x v="72"/>
  </r>
  <r>
    <x v="2"/>
    <x v="5"/>
    <x v="10"/>
    <x v="1"/>
    <x v="3"/>
    <x v="60"/>
    <x v="26"/>
    <n v="276.14999999999998"/>
    <x v="73"/>
  </r>
  <r>
    <x v="2"/>
    <x v="1"/>
    <x v="8"/>
    <x v="2"/>
    <x v="2"/>
    <x v="61"/>
    <x v="17"/>
    <n v="405.63"/>
    <x v="74"/>
  </r>
  <r>
    <x v="2"/>
    <x v="1"/>
    <x v="5"/>
    <x v="1"/>
    <x v="1"/>
    <x v="62"/>
    <x v="33"/>
    <n v="172.41"/>
    <x v="75"/>
  </r>
  <r>
    <x v="3"/>
    <x v="6"/>
    <x v="11"/>
    <x v="0"/>
    <x v="5"/>
    <x v="63"/>
    <x v="10"/>
    <n v="50.84"/>
    <x v="76"/>
  </r>
  <r>
    <x v="3"/>
    <x v="1"/>
    <x v="0"/>
    <x v="1"/>
    <x v="1"/>
    <x v="64"/>
    <x v="2"/>
    <n v="215.47"/>
    <x v="77"/>
  </r>
  <r>
    <x v="3"/>
    <x v="5"/>
    <x v="4"/>
    <x v="0"/>
    <x v="0"/>
    <x v="65"/>
    <x v="5"/>
    <n v="392.64"/>
    <x v="78"/>
  </r>
  <r>
    <x v="3"/>
    <x v="1"/>
    <x v="8"/>
    <x v="3"/>
    <x v="4"/>
    <x v="66"/>
    <x v="11"/>
    <n v="389.55"/>
    <x v="79"/>
  </r>
  <r>
    <x v="3"/>
    <x v="6"/>
    <x v="10"/>
    <x v="3"/>
    <x v="4"/>
    <x v="35"/>
    <x v="17"/>
    <n v="266.49"/>
    <x v="80"/>
  </r>
  <r>
    <x v="3"/>
    <x v="7"/>
    <x v="1"/>
    <x v="1"/>
    <x v="3"/>
    <x v="62"/>
    <x v="17"/>
    <n v="115.67"/>
    <x v="81"/>
  </r>
  <r>
    <x v="3"/>
    <x v="6"/>
    <x v="7"/>
    <x v="1"/>
    <x v="1"/>
    <x v="67"/>
    <x v="5"/>
    <n v="240.28"/>
    <x v="82"/>
  </r>
  <r>
    <x v="3"/>
    <x v="1"/>
    <x v="10"/>
    <x v="1"/>
    <x v="1"/>
    <x v="68"/>
    <x v="16"/>
    <n v="101.09"/>
    <x v="83"/>
  </r>
  <r>
    <x v="3"/>
    <x v="7"/>
    <x v="11"/>
    <x v="3"/>
    <x v="4"/>
    <x v="69"/>
    <x v="28"/>
    <n v="21.88"/>
    <x v="84"/>
  </r>
  <r>
    <x v="3"/>
    <x v="0"/>
    <x v="9"/>
    <x v="0"/>
    <x v="5"/>
    <x v="70"/>
    <x v="6"/>
    <n v="38.380000000000003"/>
    <x v="85"/>
  </r>
  <r>
    <x v="3"/>
    <x v="5"/>
    <x v="11"/>
    <x v="0"/>
    <x v="5"/>
    <x v="71"/>
    <x v="35"/>
    <n v="476.2"/>
    <x v="86"/>
  </r>
  <r>
    <x v="3"/>
    <x v="5"/>
    <x v="8"/>
    <x v="1"/>
    <x v="1"/>
    <x v="72"/>
    <x v="14"/>
    <n v="461.35"/>
    <x v="87"/>
  </r>
  <r>
    <x v="3"/>
    <x v="6"/>
    <x v="6"/>
    <x v="1"/>
    <x v="1"/>
    <x v="73"/>
    <x v="12"/>
    <n v="227.57"/>
    <x v="88"/>
  </r>
  <r>
    <x v="3"/>
    <x v="0"/>
    <x v="1"/>
    <x v="1"/>
    <x v="3"/>
    <x v="74"/>
    <x v="30"/>
    <n v="333.89"/>
    <x v="89"/>
  </r>
  <r>
    <x v="3"/>
    <x v="7"/>
    <x v="9"/>
    <x v="0"/>
    <x v="5"/>
    <x v="75"/>
    <x v="8"/>
    <n v="178.98"/>
    <x v="90"/>
  </r>
  <r>
    <x v="3"/>
    <x v="2"/>
    <x v="10"/>
    <x v="1"/>
    <x v="3"/>
    <x v="76"/>
    <x v="8"/>
    <n v="29.38"/>
    <x v="91"/>
  </r>
  <r>
    <x v="3"/>
    <x v="5"/>
    <x v="9"/>
    <x v="0"/>
    <x v="5"/>
    <x v="77"/>
    <x v="36"/>
    <n v="127.77"/>
    <x v="92"/>
  </r>
  <r>
    <x v="3"/>
    <x v="7"/>
    <x v="0"/>
    <x v="1"/>
    <x v="1"/>
    <x v="78"/>
    <x v="22"/>
    <n v="374.91"/>
    <x v="93"/>
  </r>
  <r>
    <x v="3"/>
    <x v="0"/>
    <x v="11"/>
    <x v="2"/>
    <x v="2"/>
    <x v="79"/>
    <x v="30"/>
    <n v="6.87"/>
    <x v="94"/>
  </r>
  <r>
    <x v="3"/>
    <x v="2"/>
    <x v="10"/>
    <x v="1"/>
    <x v="1"/>
    <x v="60"/>
    <x v="17"/>
    <n v="457.2"/>
    <x v="95"/>
  </r>
  <r>
    <x v="3"/>
    <x v="5"/>
    <x v="4"/>
    <x v="0"/>
    <x v="0"/>
    <x v="80"/>
    <x v="14"/>
    <n v="305.58999999999997"/>
    <x v="96"/>
  </r>
  <r>
    <x v="3"/>
    <x v="0"/>
    <x v="4"/>
    <x v="2"/>
    <x v="2"/>
    <x v="62"/>
    <x v="37"/>
    <n v="127.42"/>
    <x v="97"/>
  </r>
  <r>
    <x v="3"/>
    <x v="2"/>
    <x v="4"/>
    <x v="0"/>
    <x v="5"/>
    <x v="81"/>
    <x v="17"/>
    <n v="314.18"/>
    <x v="98"/>
  </r>
  <r>
    <x v="3"/>
    <x v="1"/>
    <x v="0"/>
    <x v="3"/>
    <x v="4"/>
    <x v="82"/>
    <x v="26"/>
    <n v="211.34"/>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5E4DA5-083B-4712-9778-84D78091F639}" name="Total Quantity by C&amp;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P1:Y13" firstHeaderRow="1" firstDataRow="2" firstDataCol="1"/>
  <pivotFields count="11">
    <pivotField showAll="0">
      <items count="5">
        <item x="0"/>
        <item x="1"/>
        <item x="2"/>
        <item x="3"/>
        <item t="default"/>
      </items>
    </pivotField>
    <pivotField axis="axisCol" showAll="0">
      <items count="9">
        <item x="3"/>
        <item x="0"/>
        <item x="6"/>
        <item x="2"/>
        <item x="7"/>
        <item x="1"/>
        <item x="5"/>
        <item x="4"/>
        <item t="default"/>
      </items>
    </pivotField>
    <pivotField showAll="0"/>
    <pivotField axis="axisRow" showAll="0">
      <items count="5">
        <item x="0"/>
        <item x="2"/>
        <item x="1"/>
        <item x="3"/>
        <item t="default"/>
      </items>
    </pivotField>
    <pivotField axis="axisRow" showAll="0">
      <items count="7">
        <item x="0"/>
        <item x="2"/>
        <item x="5"/>
        <item x="4"/>
        <item x="3"/>
        <item x="1"/>
        <item t="default"/>
      </items>
    </pivotField>
    <pivotField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dataField="1" showAll="0"/>
    <pivotField showAll="0"/>
    <pivotField showAll="0">
      <items count="101">
        <item x="45"/>
        <item x="55"/>
        <item x="94"/>
        <item x="91"/>
        <item x="49"/>
        <item x="83"/>
        <item x="19"/>
        <item x="28"/>
        <item x="30"/>
        <item x="16"/>
        <item x="39"/>
        <item x="38"/>
        <item x="66"/>
        <item x="77"/>
        <item x="3"/>
        <item x="84"/>
        <item x="76"/>
        <item x="5"/>
        <item x="2"/>
        <item x="15"/>
        <item x="1"/>
        <item x="60"/>
        <item x="25"/>
        <item x="90"/>
        <item x="85"/>
        <item x="37"/>
        <item x="0"/>
        <item x="62"/>
        <item x="97"/>
        <item x="59"/>
        <item x="99"/>
        <item x="81"/>
        <item x="57"/>
        <item x="50"/>
        <item x="73"/>
        <item x="24"/>
        <item x="27"/>
        <item x="41"/>
        <item x="8"/>
        <item x="26"/>
        <item x="96"/>
        <item x="75"/>
        <item x="52"/>
        <item x="23"/>
        <item x="17"/>
        <item x="86"/>
        <item x="92"/>
        <item x="35"/>
        <item x="71"/>
        <item x="72"/>
        <item x="13"/>
        <item x="40"/>
        <item x="82"/>
        <item x="68"/>
        <item x="22"/>
        <item x="65"/>
        <item x="20"/>
        <item x="33"/>
        <item x="80"/>
        <item x="63"/>
        <item x="87"/>
        <item x="70"/>
        <item x="93"/>
        <item x="11"/>
        <item x="98"/>
        <item x="10"/>
        <item x="88"/>
        <item x="78"/>
        <item x="64"/>
        <item x="89"/>
        <item x="74"/>
        <item x="6"/>
        <item x="61"/>
        <item x="31"/>
        <item x="42"/>
        <item x="58"/>
        <item x="43"/>
        <item x="36"/>
        <item x="32"/>
        <item x="18"/>
        <item x="4"/>
        <item x="53"/>
        <item x="95"/>
        <item x="34"/>
        <item x="46"/>
        <item x="21"/>
        <item x="69"/>
        <item x="54"/>
        <item x="29"/>
        <item x="67"/>
        <item x="48"/>
        <item x="9"/>
        <item x="47"/>
        <item x="56"/>
        <item x="12"/>
        <item x="51"/>
        <item x="44"/>
        <item x="79"/>
        <item x="7"/>
        <item x="1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3"/>
    <field x="4"/>
  </rowFields>
  <rowItems count="11">
    <i>
      <x/>
    </i>
    <i r="1">
      <x/>
    </i>
    <i r="1">
      <x v="2"/>
    </i>
    <i>
      <x v="1"/>
    </i>
    <i r="1">
      <x v="1"/>
    </i>
    <i>
      <x v="2"/>
    </i>
    <i r="1">
      <x v="4"/>
    </i>
    <i r="1">
      <x v="5"/>
    </i>
    <i>
      <x v="3"/>
    </i>
    <i r="1">
      <x v="3"/>
    </i>
    <i t="grand">
      <x/>
    </i>
  </rowItems>
  <colFields count="1">
    <field x="1"/>
  </colFields>
  <colItems count="9">
    <i>
      <x/>
    </i>
    <i>
      <x v="1"/>
    </i>
    <i>
      <x v="2"/>
    </i>
    <i>
      <x v="3"/>
    </i>
    <i>
      <x v="4"/>
    </i>
    <i>
      <x v="5"/>
    </i>
    <i>
      <x v="6"/>
    </i>
    <i>
      <x v="7"/>
    </i>
    <i t="grand">
      <x/>
    </i>
  </colItems>
  <dataFields count="1">
    <dataField name="Sum of Quantity" fld="6" baseField="0" baseItem="0"/>
  </dataFields>
  <formats count="42">
    <format dxfId="983">
      <pivotArea type="all" dataOnly="0" outline="0" fieldPosition="0"/>
    </format>
    <format dxfId="982">
      <pivotArea outline="0" collapsedLevelsAreSubtotals="1" fieldPosition="0"/>
    </format>
    <format dxfId="981">
      <pivotArea type="origin" dataOnly="0" labelOnly="1" outline="0" fieldPosition="0"/>
    </format>
    <format dxfId="980">
      <pivotArea field="1" type="button" dataOnly="0" labelOnly="1" outline="0" axis="axisCol" fieldPosition="0"/>
    </format>
    <format dxfId="979">
      <pivotArea type="topRight" dataOnly="0" labelOnly="1" outline="0" fieldPosition="0"/>
    </format>
    <format dxfId="978">
      <pivotArea field="3" type="button" dataOnly="0" labelOnly="1" outline="0" axis="axisRow" fieldPosition="0"/>
    </format>
    <format dxfId="977">
      <pivotArea dataOnly="0" labelOnly="1" fieldPosition="0">
        <references count="1">
          <reference field="3" count="0"/>
        </references>
      </pivotArea>
    </format>
    <format dxfId="976">
      <pivotArea dataOnly="0" labelOnly="1" grandRow="1" outline="0" fieldPosition="0"/>
    </format>
    <format dxfId="975">
      <pivotArea dataOnly="0" labelOnly="1" fieldPosition="0">
        <references count="2">
          <reference field="3" count="1" selected="0">
            <x v="0"/>
          </reference>
          <reference field="4" count="2">
            <x v="0"/>
            <x v="2"/>
          </reference>
        </references>
      </pivotArea>
    </format>
    <format dxfId="974">
      <pivotArea dataOnly="0" labelOnly="1" fieldPosition="0">
        <references count="2">
          <reference field="3" count="1" selected="0">
            <x v="1"/>
          </reference>
          <reference field="4" count="1">
            <x v="1"/>
          </reference>
        </references>
      </pivotArea>
    </format>
    <format dxfId="973">
      <pivotArea dataOnly="0" labelOnly="1" fieldPosition="0">
        <references count="2">
          <reference field="3" count="1" selected="0">
            <x v="2"/>
          </reference>
          <reference field="4" count="2">
            <x v="4"/>
            <x v="5"/>
          </reference>
        </references>
      </pivotArea>
    </format>
    <format dxfId="972">
      <pivotArea dataOnly="0" labelOnly="1" fieldPosition="0">
        <references count="2">
          <reference field="3" count="1" selected="0">
            <x v="3"/>
          </reference>
          <reference field="4" count="1">
            <x v="3"/>
          </reference>
        </references>
      </pivotArea>
    </format>
    <format dxfId="971">
      <pivotArea dataOnly="0" labelOnly="1" fieldPosition="0">
        <references count="1">
          <reference field="1" count="0"/>
        </references>
      </pivotArea>
    </format>
    <format dxfId="970">
      <pivotArea dataOnly="0" labelOnly="1" grandCol="1" outline="0" fieldPosition="0"/>
    </format>
    <format dxfId="969">
      <pivotArea type="all" dataOnly="0" outline="0" fieldPosition="0"/>
    </format>
    <format dxfId="968">
      <pivotArea outline="0" collapsedLevelsAreSubtotals="1" fieldPosition="0"/>
    </format>
    <format dxfId="967">
      <pivotArea type="origin" dataOnly="0" labelOnly="1" outline="0" fieldPosition="0"/>
    </format>
    <format dxfId="966">
      <pivotArea field="1" type="button" dataOnly="0" labelOnly="1" outline="0" axis="axisCol" fieldPosition="0"/>
    </format>
    <format dxfId="965">
      <pivotArea type="topRight" dataOnly="0" labelOnly="1" outline="0" fieldPosition="0"/>
    </format>
    <format dxfId="964">
      <pivotArea field="3" type="button" dataOnly="0" labelOnly="1" outline="0" axis="axisRow" fieldPosition="0"/>
    </format>
    <format dxfId="963">
      <pivotArea dataOnly="0" labelOnly="1" fieldPosition="0">
        <references count="1">
          <reference field="3" count="0"/>
        </references>
      </pivotArea>
    </format>
    <format dxfId="962">
      <pivotArea dataOnly="0" labelOnly="1" grandRow="1" outline="0" fieldPosition="0"/>
    </format>
    <format dxfId="961">
      <pivotArea dataOnly="0" labelOnly="1" fieldPosition="0">
        <references count="2">
          <reference field="3" count="1" selected="0">
            <x v="0"/>
          </reference>
          <reference field="4" count="2">
            <x v="0"/>
            <x v="2"/>
          </reference>
        </references>
      </pivotArea>
    </format>
    <format dxfId="960">
      <pivotArea dataOnly="0" labelOnly="1" fieldPosition="0">
        <references count="2">
          <reference field="3" count="1" selected="0">
            <x v="1"/>
          </reference>
          <reference field="4" count="1">
            <x v="1"/>
          </reference>
        </references>
      </pivotArea>
    </format>
    <format dxfId="959">
      <pivotArea dataOnly="0" labelOnly="1" fieldPosition="0">
        <references count="2">
          <reference field="3" count="1" selected="0">
            <x v="2"/>
          </reference>
          <reference field="4" count="2">
            <x v="4"/>
            <x v="5"/>
          </reference>
        </references>
      </pivotArea>
    </format>
    <format dxfId="958">
      <pivotArea dataOnly="0" labelOnly="1" fieldPosition="0">
        <references count="2">
          <reference field="3" count="1" selected="0">
            <x v="3"/>
          </reference>
          <reference field="4" count="1">
            <x v="3"/>
          </reference>
        </references>
      </pivotArea>
    </format>
    <format dxfId="957">
      <pivotArea dataOnly="0" labelOnly="1" fieldPosition="0">
        <references count="1">
          <reference field="1" count="0"/>
        </references>
      </pivotArea>
    </format>
    <format dxfId="956">
      <pivotArea dataOnly="0" labelOnly="1" grandCol="1" outline="0" fieldPosition="0"/>
    </format>
    <format dxfId="955">
      <pivotArea type="all" dataOnly="0" outline="0" fieldPosition="0"/>
    </format>
    <format dxfId="954">
      <pivotArea outline="0" collapsedLevelsAreSubtotals="1" fieldPosition="0"/>
    </format>
    <format dxfId="953">
      <pivotArea type="origin" dataOnly="0" labelOnly="1" outline="0" fieldPosition="0"/>
    </format>
    <format dxfId="952">
      <pivotArea field="1" type="button" dataOnly="0" labelOnly="1" outline="0" axis="axisCol" fieldPosition="0"/>
    </format>
    <format dxfId="951">
      <pivotArea type="topRight" dataOnly="0" labelOnly="1" outline="0" fieldPosition="0"/>
    </format>
    <format dxfId="950">
      <pivotArea field="3" type="button" dataOnly="0" labelOnly="1" outline="0" axis="axisRow" fieldPosition="0"/>
    </format>
    <format dxfId="949">
      <pivotArea dataOnly="0" labelOnly="1" fieldPosition="0">
        <references count="1">
          <reference field="3" count="0"/>
        </references>
      </pivotArea>
    </format>
    <format dxfId="948">
      <pivotArea dataOnly="0" labelOnly="1" grandRow="1" outline="0" fieldPosition="0"/>
    </format>
    <format dxfId="947">
      <pivotArea dataOnly="0" labelOnly="1" fieldPosition="0">
        <references count="2">
          <reference field="3" count="1" selected="0">
            <x v="0"/>
          </reference>
          <reference field="4" count="2">
            <x v="0"/>
            <x v="2"/>
          </reference>
        </references>
      </pivotArea>
    </format>
    <format dxfId="946">
      <pivotArea dataOnly="0" labelOnly="1" fieldPosition="0">
        <references count="2">
          <reference field="3" count="1" selected="0">
            <x v="1"/>
          </reference>
          <reference field="4" count="1">
            <x v="1"/>
          </reference>
        </references>
      </pivotArea>
    </format>
    <format dxfId="945">
      <pivotArea dataOnly="0" labelOnly="1" fieldPosition="0">
        <references count="2">
          <reference field="3" count="1" selected="0">
            <x v="2"/>
          </reference>
          <reference field="4" count="2">
            <x v="4"/>
            <x v="5"/>
          </reference>
        </references>
      </pivotArea>
    </format>
    <format dxfId="944">
      <pivotArea dataOnly="0" labelOnly="1" fieldPosition="0">
        <references count="2">
          <reference field="3" count="1" selected="0">
            <x v="3"/>
          </reference>
          <reference field="4" count="1">
            <x v="3"/>
          </reference>
        </references>
      </pivotArea>
    </format>
    <format dxfId="943">
      <pivotArea dataOnly="0" labelOnly="1" fieldPosition="0">
        <references count="1">
          <reference field="1" count="0"/>
        </references>
      </pivotArea>
    </format>
    <format dxfId="94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9015DD-E934-4045-96F9-0B59C76A65BE}" name="Total Quantity by Date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M1:N14" firstHeaderRow="1" firstDataRow="1" firstDataCol="1"/>
  <pivotFields count="11">
    <pivotField showAll="0">
      <items count="5">
        <item x="0"/>
        <item x="1"/>
        <item x="2"/>
        <item x="3"/>
        <item t="default"/>
      </items>
    </pivotField>
    <pivotField showAll="0">
      <items count="9">
        <item x="3"/>
        <item x="0"/>
        <item x="6"/>
        <item x="2"/>
        <item x="7"/>
        <item x="1"/>
        <item x="5"/>
        <item x="4"/>
        <item t="default"/>
      </items>
    </pivotField>
    <pivotField showAll="0"/>
    <pivotField showAll="0">
      <items count="5">
        <item x="0"/>
        <item x="2"/>
        <item x="1"/>
        <item x="3"/>
        <item t="default"/>
      </items>
    </pivotField>
    <pivotField showAll="0">
      <items count="7">
        <item x="0"/>
        <item x="2"/>
        <item x="5"/>
        <item x="4"/>
        <item x="3"/>
        <item x="1"/>
        <item t="default"/>
      </items>
    </pivotField>
    <pivotField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dataField="1" showAll="0"/>
    <pivotField showAll="0"/>
    <pivotField showAll="0">
      <items count="101">
        <item x="45"/>
        <item x="55"/>
        <item x="94"/>
        <item x="91"/>
        <item x="49"/>
        <item x="83"/>
        <item x="19"/>
        <item x="28"/>
        <item x="30"/>
        <item x="16"/>
        <item x="39"/>
        <item x="38"/>
        <item x="66"/>
        <item x="77"/>
        <item x="3"/>
        <item x="84"/>
        <item x="76"/>
        <item x="5"/>
        <item x="2"/>
        <item x="15"/>
        <item x="1"/>
        <item x="60"/>
        <item x="25"/>
        <item x="90"/>
        <item x="85"/>
        <item x="37"/>
        <item x="0"/>
        <item x="62"/>
        <item x="97"/>
        <item x="59"/>
        <item x="99"/>
        <item x="81"/>
        <item x="57"/>
        <item x="50"/>
        <item x="73"/>
        <item x="24"/>
        <item x="27"/>
        <item x="41"/>
        <item x="8"/>
        <item x="26"/>
        <item x="96"/>
        <item x="75"/>
        <item x="52"/>
        <item x="23"/>
        <item x="17"/>
        <item x="86"/>
        <item x="92"/>
        <item x="35"/>
        <item x="71"/>
        <item x="72"/>
        <item x="13"/>
        <item x="40"/>
        <item x="82"/>
        <item x="68"/>
        <item x="22"/>
        <item x="65"/>
        <item x="20"/>
        <item x="33"/>
        <item x="80"/>
        <item x="63"/>
        <item x="87"/>
        <item x="70"/>
        <item x="93"/>
        <item x="11"/>
        <item x="98"/>
        <item x="10"/>
        <item x="88"/>
        <item x="78"/>
        <item x="64"/>
        <item x="89"/>
        <item x="74"/>
        <item x="6"/>
        <item x="61"/>
        <item x="31"/>
        <item x="42"/>
        <item x="58"/>
        <item x="43"/>
        <item x="36"/>
        <item x="32"/>
        <item x="18"/>
        <item x="4"/>
        <item x="53"/>
        <item x="95"/>
        <item x="34"/>
        <item x="46"/>
        <item x="21"/>
        <item x="69"/>
        <item x="54"/>
        <item x="29"/>
        <item x="67"/>
        <item x="48"/>
        <item x="9"/>
        <item x="47"/>
        <item x="56"/>
        <item x="12"/>
        <item x="51"/>
        <item x="44"/>
        <item x="79"/>
        <item x="7"/>
        <item x="1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9"/>
  </rowFields>
  <rowItems count="13">
    <i>
      <x v="1"/>
    </i>
    <i>
      <x v="2"/>
    </i>
    <i>
      <x v="3"/>
    </i>
    <i>
      <x v="4"/>
    </i>
    <i>
      <x v="5"/>
    </i>
    <i>
      <x v="6"/>
    </i>
    <i>
      <x v="7"/>
    </i>
    <i>
      <x v="8"/>
    </i>
    <i>
      <x v="9"/>
    </i>
    <i>
      <x v="10"/>
    </i>
    <i>
      <x v="11"/>
    </i>
    <i>
      <x v="12"/>
    </i>
    <i t="grand">
      <x/>
    </i>
  </rowItems>
  <colItems count="1">
    <i/>
  </colItems>
  <dataFields count="1">
    <dataField name="Sum of Quantity" fld="6" baseField="0" baseItem="0"/>
  </dataFields>
  <formats count="18">
    <format dxfId="1001">
      <pivotArea type="all" dataOnly="0" outline="0" fieldPosition="0"/>
    </format>
    <format dxfId="1000">
      <pivotArea outline="0" collapsedLevelsAreSubtotals="1" fieldPosition="0"/>
    </format>
    <format dxfId="999">
      <pivotArea field="10" type="button" dataOnly="0" labelOnly="1" outline="0" axis="axisRow" fieldPosition="0"/>
    </format>
    <format dxfId="998">
      <pivotArea dataOnly="0" labelOnly="1" fieldPosition="0">
        <references count="1">
          <reference field="10" count="12">
            <x v="1"/>
            <x v="2"/>
            <x v="3"/>
            <x v="4"/>
            <x v="5"/>
            <x v="6"/>
            <x v="7"/>
            <x v="8"/>
            <x v="9"/>
            <x v="10"/>
            <x v="11"/>
            <x v="12"/>
          </reference>
        </references>
      </pivotArea>
    </format>
    <format dxfId="997">
      <pivotArea dataOnly="0" labelOnly="1" grandRow="1" outline="0" fieldPosition="0"/>
    </format>
    <format dxfId="996">
      <pivotArea dataOnly="0" labelOnly="1" outline="0" axis="axisValues" fieldPosition="0"/>
    </format>
    <format dxfId="995">
      <pivotArea type="all" dataOnly="0" outline="0" fieldPosition="0"/>
    </format>
    <format dxfId="994">
      <pivotArea outline="0" collapsedLevelsAreSubtotals="1" fieldPosition="0"/>
    </format>
    <format dxfId="993">
      <pivotArea field="10" type="button" dataOnly="0" labelOnly="1" outline="0" axis="axisRow" fieldPosition="0"/>
    </format>
    <format dxfId="992">
      <pivotArea dataOnly="0" labelOnly="1" fieldPosition="0">
        <references count="1">
          <reference field="10" count="12">
            <x v="1"/>
            <x v="2"/>
            <x v="3"/>
            <x v="4"/>
            <x v="5"/>
            <x v="6"/>
            <x v="7"/>
            <x v="8"/>
            <x v="9"/>
            <x v="10"/>
            <x v="11"/>
            <x v="12"/>
          </reference>
        </references>
      </pivotArea>
    </format>
    <format dxfId="991">
      <pivotArea dataOnly="0" labelOnly="1" grandRow="1" outline="0" fieldPosition="0"/>
    </format>
    <format dxfId="990">
      <pivotArea dataOnly="0" labelOnly="1" outline="0" axis="axisValues" fieldPosition="0"/>
    </format>
    <format dxfId="989">
      <pivotArea type="all" dataOnly="0" outline="0" fieldPosition="0"/>
    </format>
    <format dxfId="988">
      <pivotArea outline="0" collapsedLevelsAreSubtotals="1" fieldPosition="0"/>
    </format>
    <format dxfId="987">
      <pivotArea field="10" type="button" dataOnly="0" labelOnly="1" outline="0" axis="axisRow" fieldPosition="0"/>
    </format>
    <format dxfId="986">
      <pivotArea dataOnly="0" labelOnly="1" fieldPosition="0">
        <references count="1">
          <reference field="10" count="12">
            <x v="1"/>
            <x v="2"/>
            <x v="3"/>
            <x v="4"/>
            <x v="5"/>
            <x v="6"/>
            <x v="7"/>
            <x v="8"/>
            <x v="9"/>
            <x v="10"/>
            <x v="11"/>
            <x v="12"/>
          </reference>
        </references>
      </pivotArea>
    </format>
    <format dxfId="985">
      <pivotArea dataOnly="0" labelOnly="1" grandRow="1" outline="0" fieldPosition="0"/>
    </format>
    <format dxfId="9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B19F05-6329-4B34-9A42-4EE8F5322681}" name="Total Quantity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fieldListSortAscending="1">
  <location ref="A1:B6" firstHeaderRow="1" firstDataRow="1" firstDataCol="1"/>
  <pivotFields count="11">
    <pivotField showAll="0">
      <items count="5">
        <item x="0"/>
        <item x="1"/>
        <item x="2"/>
        <item x="3"/>
        <item t="default"/>
      </items>
    </pivotField>
    <pivotField showAll="0">
      <items count="9">
        <item x="3"/>
        <item x="0"/>
        <item x="6"/>
        <item x="2"/>
        <item x="7"/>
        <item x="1"/>
        <item x="5"/>
        <item x="4"/>
        <item t="default"/>
      </items>
    </pivotField>
    <pivotField showAll="0"/>
    <pivotField axis="axisRow" showAll="0">
      <items count="5">
        <item sd="0" x="0"/>
        <item sd="0" x="2"/>
        <item sd="0" x="1"/>
        <item sd="0" x="3"/>
        <item t="default" sd="0"/>
      </items>
    </pivotField>
    <pivotField axis="axisRow" showAll="0">
      <items count="7">
        <item x="0"/>
        <item x="2"/>
        <item x="5"/>
        <item x="4"/>
        <item x="3"/>
        <item x="1"/>
        <item t="default"/>
      </items>
    </pivotField>
    <pivotField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dataField="1" showAll="0"/>
    <pivotField showAll="0"/>
    <pivotField showAll="0">
      <items count="101">
        <item x="45"/>
        <item x="55"/>
        <item x="94"/>
        <item x="91"/>
        <item x="49"/>
        <item x="83"/>
        <item x="19"/>
        <item x="28"/>
        <item x="30"/>
        <item x="16"/>
        <item x="39"/>
        <item x="38"/>
        <item x="66"/>
        <item x="77"/>
        <item x="3"/>
        <item x="84"/>
        <item x="76"/>
        <item x="5"/>
        <item x="2"/>
        <item x="15"/>
        <item x="1"/>
        <item x="60"/>
        <item x="25"/>
        <item x="90"/>
        <item x="85"/>
        <item x="37"/>
        <item x="0"/>
        <item x="62"/>
        <item x="97"/>
        <item x="59"/>
        <item x="99"/>
        <item x="81"/>
        <item x="57"/>
        <item x="50"/>
        <item x="73"/>
        <item x="24"/>
        <item x="27"/>
        <item x="41"/>
        <item x="8"/>
        <item x="26"/>
        <item x="96"/>
        <item x="75"/>
        <item x="52"/>
        <item x="23"/>
        <item x="17"/>
        <item x="86"/>
        <item x="92"/>
        <item x="35"/>
        <item x="71"/>
        <item x="72"/>
        <item x="13"/>
        <item x="40"/>
        <item x="82"/>
        <item x="68"/>
        <item x="22"/>
        <item x="65"/>
        <item x="20"/>
        <item x="33"/>
        <item x="80"/>
        <item x="63"/>
        <item x="87"/>
        <item x="70"/>
        <item x="93"/>
        <item x="11"/>
        <item x="98"/>
        <item x="10"/>
        <item x="88"/>
        <item x="78"/>
        <item x="64"/>
        <item x="89"/>
        <item x="74"/>
        <item x="6"/>
        <item x="61"/>
        <item x="31"/>
        <item x="42"/>
        <item x="58"/>
        <item x="43"/>
        <item x="36"/>
        <item x="32"/>
        <item x="18"/>
        <item x="4"/>
        <item x="53"/>
        <item x="95"/>
        <item x="34"/>
        <item x="46"/>
        <item x="21"/>
        <item x="69"/>
        <item x="54"/>
        <item x="29"/>
        <item x="67"/>
        <item x="48"/>
        <item x="9"/>
        <item x="47"/>
        <item x="56"/>
        <item x="12"/>
        <item x="51"/>
        <item x="44"/>
        <item x="79"/>
        <item x="7"/>
        <item x="1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3"/>
    <field x="4"/>
  </rowFields>
  <rowItems count="5">
    <i>
      <x/>
    </i>
    <i>
      <x v="1"/>
    </i>
    <i>
      <x v="2"/>
    </i>
    <i>
      <x v="3"/>
    </i>
    <i t="grand">
      <x/>
    </i>
  </rowItems>
  <colItems count="1">
    <i/>
  </colItems>
  <dataFields count="1">
    <dataField name="Sum of Quantity" fld="6" baseField="0" baseItem="0"/>
  </dataFields>
  <formats count="30">
    <format dxfId="1031">
      <pivotArea type="all" dataOnly="0" outline="0" fieldPosition="0"/>
    </format>
    <format dxfId="1030">
      <pivotArea outline="0" collapsedLevelsAreSubtotals="1" fieldPosition="0"/>
    </format>
    <format dxfId="1029">
      <pivotArea field="3" type="button" dataOnly="0" labelOnly="1" outline="0" axis="axisRow" fieldPosition="0"/>
    </format>
    <format dxfId="1028">
      <pivotArea dataOnly="0" labelOnly="1" fieldPosition="0">
        <references count="1">
          <reference field="3" count="0"/>
        </references>
      </pivotArea>
    </format>
    <format dxfId="1027">
      <pivotArea dataOnly="0" labelOnly="1" grandRow="1" outline="0" fieldPosition="0"/>
    </format>
    <format dxfId="1026">
      <pivotArea dataOnly="0" labelOnly="1" fieldPosition="0">
        <references count="2">
          <reference field="3" count="1" selected="0">
            <x v="0"/>
          </reference>
          <reference field="4" count="2">
            <x v="0"/>
            <x v="2"/>
          </reference>
        </references>
      </pivotArea>
    </format>
    <format dxfId="1025">
      <pivotArea dataOnly="0" labelOnly="1" fieldPosition="0">
        <references count="2">
          <reference field="3" count="1" selected="0">
            <x v="1"/>
          </reference>
          <reference field="4" count="1">
            <x v="1"/>
          </reference>
        </references>
      </pivotArea>
    </format>
    <format dxfId="1024">
      <pivotArea dataOnly="0" labelOnly="1" fieldPosition="0">
        <references count="2">
          <reference field="3" count="1" selected="0">
            <x v="2"/>
          </reference>
          <reference field="4" count="2">
            <x v="4"/>
            <x v="5"/>
          </reference>
        </references>
      </pivotArea>
    </format>
    <format dxfId="1023">
      <pivotArea dataOnly="0" labelOnly="1" fieldPosition="0">
        <references count="2">
          <reference field="3" count="1" selected="0">
            <x v="3"/>
          </reference>
          <reference field="4" count="1">
            <x v="3"/>
          </reference>
        </references>
      </pivotArea>
    </format>
    <format dxfId="1022">
      <pivotArea dataOnly="0" labelOnly="1" outline="0" axis="axisValues" fieldPosition="0"/>
    </format>
    <format dxfId="1021">
      <pivotArea type="all" dataOnly="0" outline="0" fieldPosition="0"/>
    </format>
    <format dxfId="1020">
      <pivotArea outline="0" collapsedLevelsAreSubtotals="1" fieldPosition="0"/>
    </format>
    <format dxfId="1019">
      <pivotArea field="3" type="button" dataOnly="0" labelOnly="1" outline="0" axis="axisRow" fieldPosition="0"/>
    </format>
    <format dxfId="1018">
      <pivotArea dataOnly="0" labelOnly="1" fieldPosition="0">
        <references count="1">
          <reference field="3" count="0"/>
        </references>
      </pivotArea>
    </format>
    <format dxfId="1017">
      <pivotArea dataOnly="0" labelOnly="1" grandRow="1" outline="0" fieldPosition="0"/>
    </format>
    <format dxfId="1016">
      <pivotArea dataOnly="0" labelOnly="1" fieldPosition="0">
        <references count="2">
          <reference field="3" count="1" selected="0">
            <x v="0"/>
          </reference>
          <reference field="4" count="2">
            <x v="0"/>
            <x v="2"/>
          </reference>
        </references>
      </pivotArea>
    </format>
    <format dxfId="1015">
      <pivotArea dataOnly="0" labelOnly="1" fieldPosition="0">
        <references count="2">
          <reference field="3" count="1" selected="0">
            <x v="1"/>
          </reference>
          <reference field="4" count="1">
            <x v="1"/>
          </reference>
        </references>
      </pivotArea>
    </format>
    <format dxfId="1014">
      <pivotArea dataOnly="0" labelOnly="1" fieldPosition="0">
        <references count="2">
          <reference field="3" count="1" selected="0">
            <x v="2"/>
          </reference>
          <reference field="4" count="2">
            <x v="4"/>
            <x v="5"/>
          </reference>
        </references>
      </pivotArea>
    </format>
    <format dxfId="1013">
      <pivotArea dataOnly="0" labelOnly="1" fieldPosition="0">
        <references count="2">
          <reference field="3" count="1" selected="0">
            <x v="3"/>
          </reference>
          <reference field="4" count="1">
            <x v="3"/>
          </reference>
        </references>
      </pivotArea>
    </format>
    <format dxfId="1012">
      <pivotArea dataOnly="0" labelOnly="1" outline="0" axis="axisValues" fieldPosition="0"/>
    </format>
    <format dxfId="1011">
      <pivotArea type="all" dataOnly="0" outline="0" fieldPosition="0"/>
    </format>
    <format dxfId="1010">
      <pivotArea outline="0" collapsedLevelsAreSubtotals="1" fieldPosition="0"/>
    </format>
    <format dxfId="1009">
      <pivotArea field="3" type="button" dataOnly="0" labelOnly="1" outline="0" axis="axisRow" fieldPosition="0"/>
    </format>
    <format dxfId="1008">
      <pivotArea dataOnly="0" labelOnly="1" fieldPosition="0">
        <references count="1">
          <reference field="3" count="0"/>
        </references>
      </pivotArea>
    </format>
    <format dxfId="1007">
      <pivotArea dataOnly="0" labelOnly="1" grandRow="1" outline="0" fieldPosition="0"/>
    </format>
    <format dxfId="1006">
      <pivotArea dataOnly="0" labelOnly="1" fieldPosition="0">
        <references count="2">
          <reference field="3" count="1" selected="0">
            <x v="0"/>
          </reference>
          <reference field="4" count="2">
            <x v="0"/>
            <x v="2"/>
          </reference>
        </references>
      </pivotArea>
    </format>
    <format dxfId="1005">
      <pivotArea dataOnly="0" labelOnly="1" fieldPosition="0">
        <references count="2">
          <reference field="3" count="1" selected="0">
            <x v="1"/>
          </reference>
          <reference field="4" count="1">
            <x v="1"/>
          </reference>
        </references>
      </pivotArea>
    </format>
    <format dxfId="1004">
      <pivotArea dataOnly="0" labelOnly="1" fieldPosition="0">
        <references count="2">
          <reference field="3" count="1" selected="0">
            <x v="2"/>
          </reference>
          <reference field="4" count="2">
            <x v="4"/>
            <x v="5"/>
          </reference>
        </references>
      </pivotArea>
    </format>
    <format dxfId="1003">
      <pivotArea dataOnly="0" labelOnly="1" fieldPosition="0">
        <references count="2">
          <reference field="3" count="1" selected="0">
            <x v="3"/>
          </reference>
          <reference field="4" count="1">
            <x v="3"/>
          </reference>
        </references>
      </pivotArea>
    </format>
    <format dxfId="1002">
      <pivotArea dataOnly="0" labelOnly="1" outline="0" axis="axisValues" fieldPosition="0"/>
    </format>
  </formats>
  <chartFormats count="9">
    <chartFormat chart="10" format="8" series="1">
      <pivotArea type="data" outline="0" fieldPosition="0">
        <references count="1">
          <reference field="4294967294" count="1" selected="0">
            <x v="0"/>
          </reference>
        </references>
      </pivotArea>
    </chartFormat>
    <chartFormat chart="10" format="9">
      <pivotArea type="data" outline="0" fieldPosition="0">
        <references count="3">
          <reference field="4294967294" count="1" selected="0">
            <x v="0"/>
          </reference>
          <reference field="3" count="1" selected="0">
            <x v="0"/>
          </reference>
          <reference field="4" count="1" selected="0">
            <x v="0"/>
          </reference>
        </references>
      </pivotArea>
    </chartFormat>
    <chartFormat chart="10" format="10">
      <pivotArea type="data" outline="0" fieldPosition="0">
        <references count="3">
          <reference field="4294967294" count="1" selected="0">
            <x v="0"/>
          </reference>
          <reference field="3" count="1" selected="0">
            <x v="0"/>
          </reference>
          <reference field="4" count="1" selected="0">
            <x v="2"/>
          </reference>
        </references>
      </pivotArea>
    </chartFormat>
    <chartFormat chart="10" format="11">
      <pivotArea type="data" outline="0" fieldPosition="0">
        <references count="3">
          <reference field="4294967294" count="1" selected="0">
            <x v="0"/>
          </reference>
          <reference field="3" count="1" selected="0">
            <x v="1"/>
          </reference>
          <reference field="4" count="1" selected="0">
            <x v="1"/>
          </reference>
        </references>
      </pivotArea>
    </chartFormat>
    <chartFormat chart="10" format="12">
      <pivotArea type="data" outline="0" fieldPosition="0">
        <references count="3">
          <reference field="4294967294" count="1" selected="0">
            <x v="0"/>
          </reference>
          <reference field="3" count="1" selected="0">
            <x v="2"/>
          </reference>
          <reference field="4" count="1" selected="0">
            <x v="4"/>
          </reference>
        </references>
      </pivotArea>
    </chartFormat>
    <chartFormat chart="10" format="13">
      <pivotArea type="data" outline="0" fieldPosition="0">
        <references count="3">
          <reference field="4294967294" count="1" selected="0">
            <x v="0"/>
          </reference>
          <reference field="3" count="1" selected="0">
            <x v="2"/>
          </reference>
          <reference field="4" count="1" selected="0">
            <x v="5"/>
          </reference>
        </references>
      </pivotArea>
    </chartFormat>
    <chartFormat chart="10" format="14">
      <pivotArea type="data" outline="0" fieldPosition="0">
        <references count="3">
          <reference field="4294967294" count="1" selected="0">
            <x v="0"/>
          </reference>
          <reference field="3" count="1" selected="0">
            <x v="3"/>
          </reference>
          <reference field="4" count="1" selected="0">
            <x v="3"/>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C96C66-B4DE-42A7-BD52-2B12E9A979BA}" name="Total Sales by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G1:H10" firstHeaderRow="1" firstDataRow="1" firstDataCol="1"/>
  <pivotFields count="11">
    <pivotField showAll="0">
      <items count="5">
        <item x="0"/>
        <item x="1"/>
        <item x="2"/>
        <item x="3"/>
        <item t="default"/>
      </items>
    </pivotField>
    <pivotField axis="axisRow" showAll="0">
      <items count="9">
        <item x="3"/>
        <item x="0"/>
        <item x="6"/>
        <item x="2"/>
        <item x="7"/>
        <item x="1"/>
        <item x="5"/>
        <item x="4"/>
        <item t="default"/>
      </items>
    </pivotField>
    <pivotField showAll="0"/>
    <pivotField showAll="0">
      <items count="5">
        <item x="0"/>
        <item x="2"/>
        <item x="1"/>
        <item x="3"/>
        <item t="default"/>
      </items>
    </pivotField>
    <pivotField showAll="0">
      <items count="7">
        <item x="0"/>
        <item x="2"/>
        <item x="5"/>
        <item x="4"/>
        <item x="3"/>
        <item x="1"/>
        <item t="default"/>
      </items>
    </pivotField>
    <pivotField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dataField="1" showAll="0">
      <items count="101">
        <item x="45"/>
        <item x="55"/>
        <item x="94"/>
        <item x="91"/>
        <item x="49"/>
        <item x="83"/>
        <item x="19"/>
        <item x="28"/>
        <item x="30"/>
        <item x="16"/>
        <item x="39"/>
        <item x="38"/>
        <item x="66"/>
        <item x="77"/>
        <item x="3"/>
        <item x="84"/>
        <item x="76"/>
        <item x="5"/>
        <item x="2"/>
        <item x="15"/>
        <item x="1"/>
        <item x="60"/>
        <item x="25"/>
        <item x="90"/>
        <item x="85"/>
        <item x="37"/>
        <item x="0"/>
        <item x="62"/>
        <item x="97"/>
        <item x="59"/>
        <item x="99"/>
        <item x="81"/>
        <item x="57"/>
        <item x="50"/>
        <item x="73"/>
        <item x="24"/>
        <item x="27"/>
        <item x="41"/>
        <item x="8"/>
        <item x="26"/>
        <item x="96"/>
        <item x="75"/>
        <item x="52"/>
        <item x="23"/>
        <item x="17"/>
        <item x="86"/>
        <item x="92"/>
        <item x="35"/>
        <item x="71"/>
        <item x="72"/>
        <item x="13"/>
        <item x="40"/>
        <item x="82"/>
        <item x="68"/>
        <item x="22"/>
        <item x="65"/>
        <item x="20"/>
        <item x="33"/>
        <item x="80"/>
        <item x="63"/>
        <item x="87"/>
        <item x="70"/>
        <item x="93"/>
        <item x="11"/>
        <item x="98"/>
        <item x="10"/>
        <item x="88"/>
        <item x="78"/>
        <item x="64"/>
        <item x="89"/>
        <item x="74"/>
        <item x="6"/>
        <item x="61"/>
        <item x="31"/>
        <item x="42"/>
        <item x="58"/>
        <item x="43"/>
        <item x="36"/>
        <item x="32"/>
        <item x="18"/>
        <item x="4"/>
        <item x="53"/>
        <item x="95"/>
        <item x="34"/>
        <item x="46"/>
        <item x="21"/>
        <item x="69"/>
        <item x="54"/>
        <item x="29"/>
        <item x="67"/>
        <item x="48"/>
        <item x="9"/>
        <item x="47"/>
        <item x="56"/>
        <item x="12"/>
        <item x="51"/>
        <item x="44"/>
        <item x="79"/>
        <item x="7"/>
        <item x="1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9">
    <i>
      <x/>
    </i>
    <i>
      <x v="1"/>
    </i>
    <i>
      <x v="2"/>
    </i>
    <i>
      <x v="3"/>
    </i>
    <i>
      <x v="4"/>
    </i>
    <i>
      <x v="5"/>
    </i>
    <i>
      <x v="6"/>
    </i>
    <i>
      <x v="7"/>
    </i>
    <i t="grand">
      <x/>
    </i>
  </rowItems>
  <colItems count="1">
    <i/>
  </colItems>
  <dataFields count="1">
    <dataField name="Sum of Sales" fld="8" baseField="0" baseItem="0" numFmtId="164"/>
  </dataFields>
  <formats count="19">
    <format dxfId="1050">
      <pivotArea type="all" dataOnly="0" outline="0" fieldPosition="0"/>
    </format>
    <format dxfId="1049">
      <pivotArea outline="0" collapsedLevelsAreSubtotals="1" fieldPosition="0"/>
    </format>
    <format dxfId="1048">
      <pivotArea field="1" type="button" dataOnly="0" labelOnly="1" outline="0" axis="axisRow" fieldPosition="0"/>
    </format>
    <format dxfId="1047">
      <pivotArea dataOnly="0" labelOnly="1" fieldPosition="0">
        <references count="1">
          <reference field="1" count="0"/>
        </references>
      </pivotArea>
    </format>
    <format dxfId="1046">
      <pivotArea dataOnly="0" labelOnly="1" grandRow="1" outline="0" fieldPosition="0"/>
    </format>
    <format dxfId="1045">
      <pivotArea dataOnly="0" labelOnly="1" outline="0" axis="axisValues" fieldPosition="0"/>
    </format>
    <format dxfId="1044">
      <pivotArea type="all" dataOnly="0" outline="0" fieldPosition="0"/>
    </format>
    <format dxfId="1043">
      <pivotArea outline="0" collapsedLevelsAreSubtotals="1" fieldPosition="0"/>
    </format>
    <format dxfId="1042">
      <pivotArea field="1" type="button" dataOnly="0" labelOnly="1" outline="0" axis="axisRow" fieldPosition="0"/>
    </format>
    <format dxfId="1041">
      <pivotArea dataOnly="0" labelOnly="1" fieldPosition="0">
        <references count="1">
          <reference field="1" count="0"/>
        </references>
      </pivotArea>
    </format>
    <format dxfId="1040">
      <pivotArea dataOnly="0" labelOnly="1" grandRow="1" outline="0" fieldPosition="0"/>
    </format>
    <format dxfId="1039">
      <pivotArea dataOnly="0" labelOnly="1" outline="0" axis="axisValues" fieldPosition="0"/>
    </format>
    <format dxfId="1038">
      <pivotArea type="all" dataOnly="0" outline="0" fieldPosition="0"/>
    </format>
    <format dxfId="1037">
      <pivotArea outline="0" collapsedLevelsAreSubtotals="1" fieldPosition="0"/>
    </format>
    <format dxfId="1036">
      <pivotArea field="1" type="button" dataOnly="0" labelOnly="1" outline="0" axis="axisRow" fieldPosition="0"/>
    </format>
    <format dxfId="1035">
      <pivotArea dataOnly="0" labelOnly="1" fieldPosition="0">
        <references count="1">
          <reference field="1" count="0"/>
        </references>
      </pivotArea>
    </format>
    <format dxfId="1034">
      <pivotArea dataOnly="0" labelOnly="1" grandRow="1" outline="0" fieldPosition="0"/>
    </format>
    <format dxfId="1033">
      <pivotArea dataOnly="0" labelOnly="1" outline="0" axis="axisValues" fieldPosition="0"/>
    </format>
    <format dxfId="10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3DAA0C-682F-4C3E-AEBB-F835FFB36554}" name="Total Quantity by Warehou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J1:K6" firstHeaderRow="1" firstDataRow="1" firstDataCol="1"/>
  <pivotFields count="11">
    <pivotField axis="axisRow" showAll="0">
      <items count="5">
        <item x="0"/>
        <item x="1"/>
        <item x="2"/>
        <item x="3"/>
        <item t="default"/>
      </items>
    </pivotField>
    <pivotField showAll="0">
      <items count="9">
        <item x="3"/>
        <item x="0"/>
        <item x="6"/>
        <item x="2"/>
        <item x="7"/>
        <item x="1"/>
        <item x="5"/>
        <item x="4"/>
        <item t="default"/>
      </items>
    </pivotField>
    <pivotField showAll="0"/>
    <pivotField showAll="0">
      <items count="5">
        <item x="0"/>
        <item x="2"/>
        <item x="1"/>
        <item x="3"/>
        <item t="default"/>
      </items>
    </pivotField>
    <pivotField showAll="0">
      <items count="7">
        <item x="0"/>
        <item x="2"/>
        <item x="5"/>
        <item x="4"/>
        <item x="3"/>
        <item x="1"/>
        <item t="default"/>
      </items>
    </pivotField>
    <pivotField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dataField="1" showAll="0"/>
    <pivotField showAll="0"/>
    <pivotField showAll="0">
      <items count="101">
        <item x="45"/>
        <item x="55"/>
        <item x="94"/>
        <item x="91"/>
        <item x="49"/>
        <item x="83"/>
        <item x="19"/>
        <item x="28"/>
        <item x="30"/>
        <item x="16"/>
        <item x="39"/>
        <item x="38"/>
        <item x="66"/>
        <item x="77"/>
        <item x="3"/>
        <item x="84"/>
        <item x="76"/>
        <item x="5"/>
        <item x="2"/>
        <item x="15"/>
        <item x="1"/>
        <item x="60"/>
        <item x="25"/>
        <item x="90"/>
        <item x="85"/>
        <item x="37"/>
        <item x="0"/>
        <item x="62"/>
        <item x="97"/>
        <item x="59"/>
        <item x="99"/>
        <item x="81"/>
        <item x="57"/>
        <item x="50"/>
        <item x="73"/>
        <item x="24"/>
        <item x="27"/>
        <item x="41"/>
        <item x="8"/>
        <item x="26"/>
        <item x="96"/>
        <item x="75"/>
        <item x="52"/>
        <item x="23"/>
        <item x="17"/>
        <item x="86"/>
        <item x="92"/>
        <item x="35"/>
        <item x="71"/>
        <item x="72"/>
        <item x="13"/>
        <item x="40"/>
        <item x="82"/>
        <item x="68"/>
        <item x="22"/>
        <item x="65"/>
        <item x="20"/>
        <item x="33"/>
        <item x="80"/>
        <item x="63"/>
        <item x="87"/>
        <item x="70"/>
        <item x="93"/>
        <item x="11"/>
        <item x="98"/>
        <item x="10"/>
        <item x="88"/>
        <item x="78"/>
        <item x="64"/>
        <item x="89"/>
        <item x="74"/>
        <item x="6"/>
        <item x="61"/>
        <item x="31"/>
        <item x="42"/>
        <item x="58"/>
        <item x="43"/>
        <item x="36"/>
        <item x="32"/>
        <item x="18"/>
        <item x="4"/>
        <item x="53"/>
        <item x="95"/>
        <item x="34"/>
        <item x="46"/>
        <item x="21"/>
        <item x="69"/>
        <item x="54"/>
        <item x="29"/>
        <item x="67"/>
        <item x="48"/>
        <item x="9"/>
        <item x="47"/>
        <item x="56"/>
        <item x="12"/>
        <item x="51"/>
        <item x="44"/>
        <item x="79"/>
        <item x="7"/>
        <item x="1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5">
    <i>
      <x/>
    </i>
    <i>
      <x v="1"/>
    </i>
    <i>
      <x v="2"/>
    </i>
    <i>
      <x v="3"/>
    </i>
    <i t="grand">
      <x/>
    </i>
  </rowItems>
  <colItems count="1">
    <i/>
  </colItems>
  <dataFields count="1">
    <dataField name="Sum of Quantity" fld="6" baseField="0" baseItem="0"/>
  </dataFields>
  <formats count="18">
    <format dxfId="1068">
      <pivotArea type="all" dataOnly="0" outline="0" fieldPosition="0"/>
    </format>
    <format dxfId="1067">
      <pivotArea outline="0" collapsedLevelsAreSubtotals="1" fieldPosition="0"/>
    </format>
    <format dxfId="1066">
      <pivotArea field="0" type="button" dataOnly="0" labelOnly="1" outline="0" axis="axisRow" fieldPosition="0"/>
    </format>
    <format dxfId="1065">
      <pivotArea dataOnly="0" labelOnly="1" fieldPosition="0">
        <references count="1">
          <reference field="0" count="0"/>
        </references>
      </pivotArea>
    </format>
    <format dxfId="1064">
      <pivotArea dataOnly="0" labelOnly="1" grandRow="1" outline="0" fieldPosition="0"/>
    </format>
    <format dxfId="1063">
      <pivotArea dataOnly="0" labelOnly="1" outline="0" axis="axisValues" fieldPosition="0"/>
    </format>
    <format dxfId="1062">
      <pivotArea type="all" dataOnly="0" outline="0" fieldPosition="0"/>
    </format>
    <format dxfId="1061">
      <pivotArea outline="0" collapsedLevelsAreSubtotals="1" fieldPosition="0"/>
    </format>
    <format dxfId="1060">
      <pivotArea field="0" type="button" dataOnly="0" labelOnly="1" outline="0" axis="axisRow" fieldPosition="0"/>
    </format>
    <format dxfId="1059">
      <pivotArea dataOnly="0" labelOnly="1" fieldPosition="0">
        <references count="1">
          <reference field="0" count="0"/>
        </references>
      </pivotArea>
    </format>
    <format dxfId="1058">
      <pivotArea dataOnly="0" labelOnly="1" grandRow="1" outline="0" fieldPosition="0"/>
    </format>
    <format dxfId="1057">
      <pivotArea dataOnly="0" labelOnly="1" outline="0" axis="axisValues" fieldPosition="0"/>
    </format>
    <format dxfId="1056">
      <pivotArea type="all" dataOnly="0" outline="0" fieldPosition="0"/>
    </format>
    <format dxfId="1055">
      <pivotArea outline="0" collapsedLevelsAreSubtotals="1" fieldPosition="0"/>
    </format>
    <format dxfId="1054">
      <pivotArea field="0" type="button" dataOnly="0" labelOnly="1" outline="0" axis="axisRow" fieldPosition="0"/>
    </format>
    <format dxfId="1053">
      <pivotArea dataOnly="0" labelOnly="1" fieldPosition="0">
        <references count="1">
          <reference field="0" count="0"/>
        </references>
      </pivotArea>
    </format>
    <format dxfId="1052">
      <pivotArea dataOnly="0" labelOnly="1" grandRow="1" outline="0" fieldPosition="0"/>
    </format>
    <format dxfId="1051">
      <pivotArea dataOnly="0" labelOnly="1" outline="0" axis="axisValues" fieldPosition="0"/>
    </format>
  </formats>
  <chartFormats count="6">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874D20-15AF-439A-9886-0DC9D693048B}" name="Total Sales by Mon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fieldListSortAscending="1">
  <location ref="D1:E14" firstHeaderRow="1" firstDataRow="1" firstDataCol="1"/>
  <pivotFields count="11">
    <pivotField showAll="0">
      <items count="5">
        <item x="0"/>
        <item x="1"/>
        <item x="2"/>
        <item x="3"/>
        <item t="default"/>
      </items>
    </pivotField>
    <pivotField showAll="0">
      <items count="9">
        <item x="3"/>
        <item x="0"/>
        <item x="6"/>
        <item x="2"/>
        <item x="7"/>
        <item x="1"/>
        <item x="5"/>
        <item x="4"/>
        <item t="default"/>
      </items>
    </pivotField>
    <pivotField showAll="0"/>
    <pivotField showAll="0">
      <items count="5">
        <item x="0"/>
        <item x="2"/>
        <item x="1"/>
        <item x="3"/>
        <item t="default"/>
      </items>
    </pivotField>
    <pivotField showAll="0">
      <items count="7">
        <item x="0"/>
        <item x="2"/>
        <item x="5"/>
        <item x="4"/>
        <item x="3"/>
        <item x="1"/>
        <item t="default"/>
      </items>
    </pivotField>
    <pivotField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showAll="0"/>
    <pivotField showAll="0"/>
    <pivotField dataField="1" showAll="0">
      <items count="101">
        <item x="45"/>
        <item x="55"/>
        <item x="94"/>
        <item x="91"/>
        <item x="49"/>
        <item x="83"/>
        <item x="19"/>
        <item x="28"/>
        <item x="30"/>
        <item x="16"/>
        <item x="39"/>
        <item x="38"/>
        <item x="66"/>
        <item x="77"/>
        <item x="3"/>
        <item x="84"/>
        <item x="76"/>
        <item x="5"/>
        <item x="2"/>
        <item x="15"/>
        <item x="1"/>
        <item x="60"/>
        <item x="25"/>
        <item x="90"/>
        <item x="85"/>
        <item x="37"/>
        <item x="0"/>
        <item x="62"/>
        <item x="97"/>
        <item x="59"/>
        <item x="99"/>
        <item x="81"/>
        <item x="57"/>
        <item x="50"/>
        <item x="73"/>
        <item x="24"/>
        <item x="27"/>
        <item x="41"/>
        <item x="8"/>
        <item x="26"/>
        <item x="96"/>
        <item x="75"/>
        <item x="52"/>
        <item x="23"/>
        <item x="17"/>
        <item x="86"/>
        <item x="92"/>
        <item x="35"/>
        <item x="71"/>
        <item x="72"/>
        <item x="13"/>
        <item x="40"/>
        <item x="82"/>
        <item x="68"/>
        <item x="22"/>
        <item x="65"/>
        <item x="20"/>
        <item x="33"/>
        <item x="80"/>
        <item x="63"/>
        <item x="87"/>
        <item x="70"/>
        <item x="93"/>
        <item x="11"/>
        <item x="98"/>
        <item x="10"/>
        <item x="88"/>
        <item x="78"/>
        <item x="64"/>
        <item x="89"/>
        <item x="74"/>
        <item x="6"/>
        <item x="61"/>
        <item x="31"/>
        <item x="42"/>
        <item x="58"/>
        <item x="43"/>
        <item x="36"/>
        <item x="32"/>
        <item x="18"/>
        <item x="4"/>
        <item x="53"/>
        <item x="95"/>
        <item x="34"/>
        <item x="46"/>
        <item x="21"/>
        <item x="69"/>
        <item x="54"/>
        <item x="29"/>
        <item x="67"/>
        <item x="48"/>
        <item x="9"/>
        <item x="47"/>
        <item x="56"/>
        <item x="12"/>
        <item x="51"/>
        <item x="44"/>
        <item x="79"/>
        <item x="7"/>
        <item x="1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 fld="8" baseField="0" baseItem="0" numFmtId="164"/>
  </dataFields>
  <formats count="19">
    <format dxfId="1087">
      <pivotArea type="all" dataOnly="0" outline="0" fieldPosition="0"/>
    </format>
    <format dxfId="1086">
      <pivotArea outline="0" collapsedLevelsAreSubtotals="1" fieldPosition="0"/>
    </format>
    <format dxfId="1085">
      <pivotArea field="10" type="button" dataOnly="0" labelOnly="1" outline="0" axis="axisRow" fieldPosition="0"/>
    </format>
    <format dxfId="1084">
      <pivotArea dataOnly="0" labelOnly="1" fieldPosition="0">
        <references count="1">
          <reference field="10" count="12">
            <x v="1"/>
            <x v="2"/>
            <x v="3"/>
            <x v="4"/>
            <x v="5"/>
            <x v="6"/>
            <x v="7"/>
            <x v="8"/>
            <x v="9"/>
            <x v="10"/>
            <x v="11"/>
            <x v="12"/>
          </reference>
        </references>
      </pivotArea>
    </format>
    <format dxfId="1083">
      <pivotArea dataOnly="0" labelOnly="1" grandRow="1" outline="0" fieldPosition="0"/>
    </format>
    <format dxfId="1082">
      <pivotArea dataOnly="0" labelOnly="1" outline="0" axis="axisValues" fieldPosition="0"/>
    </format>
    <format dxfId="1081">
      <pivotArea type="all" dataOnly="0" outline="0" fieldPosition="0"/>
    </format>
    <format dxfId="1080">
      <pivotArea outline="0" collapsedLevelsAreSubtotals="1" fieldPosition="0"/>
    </format>
    <format dxfId="1079">
      <pivotArea field="10" type="button" dataOnly="0" labelOnly="1" outline="0" axis="axisRow" fieldPosition="0"/>
    </format>
    <format dxfId="1078">
      <pivotArea dataOnly="0" labelOnly="1" fieldPosition="0">
        <references count="1">
          <reference field="10" count="12">
            <x v="1"/>
            <x v="2"/>
            <x v="3"/>
            <x v="4"/>
            <x v="5"/>
            <x v="6"/>
            <x v="7"/>
            <x v="8"/>
            <x v="9"/>
            <x v="10"/>
            <x v="11"/>
            <x v="12"/>
          </reference>
        </references>
      </pivotArea>
    </format>
    <format dxfId="1077">
      <pivotArea dataOnly="0" labelOnly="1" grandRow="1" outline="0" fieldPosition="0"/>
    </format>
    <format dxfId="1076">
      <pivotArea dataOnly="0" labelOnly="1" outline="0" axis="axisValues" fieldPosition="0"/>
    </format>
    <format dxfId="1075">
      <pivotArea type="all" dataOnly="0" outline="0" fieldPosition="0"/>
    </format>
    <format dxfId="1074">
      <pivotArea outline="0" collapsedLevelsAreSubtotals="1" fieldPosition="0"/>
    </format>
    <format dxfId="1073">
      <pivotArea field="10" type="button" dataOnly="0" labelOnly="1" outline="0" axis="axisRow" fieldPosition="0"/>
    </format>
    <format dxfId="1072">
      <pivotArea dataOnly="0" labelOnly="1" fieldPosition="0">
        <references count="1">
          <reference field="10" count="12">
            <x v="1"/>
            <x v="2"/>
            <x v="3"/>
            <x v="4"/>
            <x v="5"/>
            <x v="6"/>
            <x v="7"/>
            <x v="8"/>
            <x v="9"/>
            <x v="10"/>
            <x v="11"/>
            <x v="12"/>
          </reference>
        </references>
      </pivotArea>
    </format>
    <format dxfId="1071">
      <pivotArea dataOnly="0" labelOnly="1" grandRow="1" outline="0" fieldPosition="0"/>
    </format>
    <format dxfId="1070">
      <pivotArea dataOnly="0" labelOnly="1" outline="0" axis="axisValues" fieldPosition="0"/>
    </format>
    <format dxfId="1069">
      <pivotArea outline="0" collapsedLevelsAreSubtotals="1" fieldPosition="0"/>
    </format>
  </formats>
  <chartFormats count="14">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0" count="1" selected="0">
            <x v="6"/>
          </reference>
        </references>
      </pivotArea>
    </chartFormat>
    <chartFormat chart="18" format="4">
      <pivotArea type="data" outline="0" fieldPosition="0">
        <references count="2">
          <reference field="4294967294" count="1" selected="0">
            <x v="0"/>
          </reference>
          <reference field="10" count="1" selected="0">
            <x v="9"/>
          </reference>
        </references>
      </pivotArea>
    </chartFormat>
    <chartFormat chart="18" format="5">
      <pivotArea type="data" outline="0" fieldPosition="0">
        <references count="2">
          <reference field="4294967294" count="1" selected="0">
            <x v="0"/>
          </reference>
          <reference field="10" count="1" selected="0">
            <x v="8"/>
          </reference>
        </references>
      </pivotArea>
    </chartFormat>
    <chartFormat chart="18" format="6">
      <pivotArea type="data" outline="0" fieldPosition="0">
        <references count="2">
          <reference field="4294967294" count="1" selected="0">
            <x v="0"/>
          </reference>
          <reference field="10" count="1" selected="0">
            <x v="7"/>
          </reference>
        </references>
      </pivotArea>
    </chartFormat>
    <chartFormat chart="18" format="7">
      <pivotArea type="data" outline="0" fieldPosition="0">
        <references count="2">
          <reference field="4294967294" count="1" selected="0">
            <x v="0"/>
          </reference>
          <reference field="10" count="1" selected="0">
            <x v="5"/>
          </reference>
        </references>
      </pivotArea>
    </chartFormat>
    <chartFormat chart="18" format="8">
      <pivotArea type="data" outline="0" fieldPosition="0">
        <references count="2">
          <reference field="4294967294" count="1" selected="0">
            <x v="0"/>
          </reference>
          <reference field="10" count="1" selected="0">
            <x v="4"/>
          </reference>
        </references>
      </pivotArea>
    </chartFormat>
    <chartFormat chart="18" format="9">
      <pivotArea type="data" outline="0" fieldPosition="0">
        <references count="2">
          <reference field="4294967294" count="1" selected="0">
            <x v="0"/>
          </reference>
          <reference field="10" count="1" selected="0">
            <x v="3"/>
          </reference>
        </references>
      </pivotArea>
    </chartFormat>
    <chartFormat chart="18" format="10">
      <pivotArea type="data" outline="0" fieldPosition="0">
        <references count="2">
          <reference field="4294967294" count="1" selected="0">
            <x v="0"/>
          </reference>
          <reference field="10" count="1" selected="0">
            <x v="2"/>
          </reference>
        </references>
      </pivotArea>
    </chartFormat>
    <chartFormat chart="18" format="11">
      <pivotArea type="data" outline="0" fieldPosition="0">
        <references count="2">
          <reference field="4294967294" count="1" selected="0">
            <x v="0"/>
          </reference>
          <reference field="10" count="1" selected="0">
            <x v="1"/>
          </reference>
        </references>
      </pivotArea>
    </chartFormat>
    <chartFormat chart="18" format="12">
      <pivotArea type="data" outline="0" fieldPosition="0">
        <references count="2">
          <reference field="4294967294" count="1" selected="0">
            <x v="0"/>
          </reference>
          <reference field="10" count="1" selected="0">
            <x v="12"/>
          </reference>
        </references>
      </pivotArea>
    </chartFormat>
    <chartFormat chart="18" format="13">
      <pivotArea type="data" outline="0" fieldPosition="0">
        <references count="2">
          <reference field="4294967294" count="1" selected="0">
            <x v="0"/>
          </reference>
          <reference field="10" count="1" selected="0">
            <x v="10"/>
          </reference>
        </references>
      </pivotArea>
    </chartFormat>
    <chartFormat chart="18" format="14">
      <pivotArea type="data" outline="0" fieldPosition="0">
        <references count="2">
          <reference field="4294967294" count="1" selected="0">
            <x v="0"/>
          </reference>
          <reference field="1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605891-935C-4076-AE52-7861A250403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A1:AD2" firstHeaderRow="0" firstDataRow="1" firstDataCol="0"/>
  <pivotFields count="11">
    <pivotField dataField="1" showAll="0">
      <items count="5">
        <item x="0"/>
        <item x="1"/>
        <item x="2"/>
        <item x="3"/>
        <item t="default"/>
      </items>
    </pivotField>
    <pivotField showAll="0">
      <items count="9">
        <item x="3"/>
        <item x="0"/>
        <item x="6"/>
        <item x="2"/>
        <item x="7"/>
        <item x="1"/>
        <item x="5"/>
        <item x="4"/>
        <item t="default"/>
      </items>
    </pivotField>
    <pivotField showAll="0"/>
    <pivotField showAll="0">
      <items count="5">
        <item x="0"/>
        <item x="2"/>
        <item x="1"/>
        <item x="3"/>
        <item t="default"/>
      </items>
    </pivotField>
    <pivotField showAll="0">
      <items count="7">
        <item x="0"/>
        <item x="2"/>
        <item x="5"/>
        <item x="4"/>
        <item x="3"/>
        <item x="1"/>
        <item t="default"/>
      </items>
    </pivotField>
    <pivotField showAll="0">
      <items count="84">
        <item x="68"/>
        <item x="10"/>
        <item x="30"/>
        <item x="26"/>
        <item x="37"/>
        <item x="46"/>
        <item x="74"/>
        <item x="77"/>
        <item x="81"/>
        <item x="66"/>
        <item x="16"/>
        <item x="6"/>
        <item x="59"/>
        <item x="38"/>
        <item x="33"/>
        <item x="8"/>
        <item x="64"/>
        <item x="34"/>
        <item x="73"/>
        <item x="52"/>
        <item x="14"/>
        <item x="29"/>
        <item x="54"/>
        <item x="82"/>
        <item x="28"/>
        <item x="49"/>
        <item x="2"/>
        <item x="23"/>
        <item x="56"/>
        <item x="21"/>
        <item x="45"/>
        <item x="69"/>
        <item x="22"/>
        <item x="40"/>
        <item x="80"/>
        <item x="41"/>
        <item x="78"/>
        <item x="75"/>
        <item x="36"/>
        <item x="71"/>
        <item x="79"/>
        <item x="9"/>
        <item x="0"/>
        <item x="55"/>
        <item x="61"/>
        <item x="76"/>
        <item x="60"/>
        <item x="17"/>
        <item x="57"/>
        <item x="43"/>
        <item x="62"/>
        <item x="11"/>
        <item x="13"/>
        <item x="53"/>
        <item x="51"/>
        <item x="50"/>
        <item x="15"/>
        <item x="4"/>
        <item x="65"/>
        <item x="18"/>
        <item x="39"/>
        <item x="7"/>
        <item x="27"/>
        <item x="48"/>
        <item x="31"/>
        <item x="32"/>
        <item x="1"/>
        <item x="19"/>
        <item x="3"/>
        <item x="72"/>
        <item x="35"/>
        <item x="24"/>
        <item x="25"/>
        <item x="63"/>
        <item x="47"/>
        <item x="44"/>
        <item x="67"/>
        <item x="12"/>
        <item x="42"/>
        <item x="20"/>
        <item x="5"/>
        <item x="58"/>
        <item x="70"/>
        <item t="default"/>
      </items>
    </pivotField>
    <pivotField dataField="1" showAll="0">
      <items count="39">
        <item x="13"/>
        <item x="16"/>
        <item x="2"/>
        <item x="32"/>
        <item x="25"/>
        <item x="8"/>
        <item x="35"/>
        <item x="26"/>
        <item x="14"/>
        <item x="37"/>
        <item x="3"/>
        <item x="22"/>
        <item x="10"/>
        <item x="23"/>
        <item x="5"/>
        <item x="17"/>
        <item x="33"/>
        <item x="34"/>
        <item x="30"/>
        <item x="21"/>
        <item x="18"/>
        <item x="19"/>
        <item x="24"/>
        <item x="9"/>
        <item x="12"/>
        <item x="36"/>
        <item x="1"/>
        <item x="29"/>
        <item x="31"/>
        <item x="15"/>
        <item x="28"/>
        <item x="6"/>
        <item x="27"/>
        <item x="4"/>
        <item x="11"/>
        <item x="7"/>
        <item x="0"/>
        <item x="20"/>
        <item t="default"/>
      </items>
    </pivotField>
    <pivotField showAll="0"/>
    <pivotField dataField="1" showAll="0">
      <items count="101">
        <item x="45"/>
        <item x="55"/>
        <item x="94"/>
        <item x="91"/>
        <item x="49"/>
        <item x="83"/>
        <item x="19"/>
        <item x="28"/>
        <item x="30"/>
        <item x="16"/>
        <item x="39"/>
        <item x="38"/>
        <item x="66"/>
        <item x="77"/>
        <item x="3"/>
        <item x="84"/>
        <item x="76"/>
        <item x="5"/>
        <item x="2"/>
        <item x="15"/>
        <item x="1"/>
        <item x="60"/>
        <item x="25"/>
        <item x="90"/>
        <item x="85"/>
        <item x="37"/>
        <item x="0"/>
        <item x="62"/>
        <item x="97"/>
        <item x="59"/>
        <item x="99"/>
        <item x="81"/>
        <item x="57"/>
        <item x="50"/>
        <item x="73"/>
        <item x="24"/>
        <item x="27"/>
        <item x="41"/>
        <item x="8"/>
        <item x="26"/>
        <item x="96"/>
        <item x="75"/>
        <item x="52"/>
        <item x="23"/>
        <item x="17"/>
        <item x="86"/>
        <item x="92"/>
        <item x="35"/>
        <item x="71"/>
        <item x="72"/>
        <item x="13"/>
        <item x="40"/>
        <item x="82"/>
        <item x="68"/>
        <item x="22"/>
        <item x="65"/>
        <item x="20"/>
        <item x="33"/>
        <item x="80"/>
        <item x="63"/>
        <item x="87"/>
        <item x="70"/>
        <item x="93"/>
        <item x="11"/>
        <item x="98"/>
        <item x="10"/>
        <item x="88"/>
        <item x="78"/>
        <item x="64"/>
        <item x="89"/>
        <item x="74"/>
        <item x="6"/>
        <item x="61"/>
        <item x="31"/>
        <item x="42"/>
        <item x="58"/>
        <item x="43"/>
        <item x="36"/>
        <item x="32"/>
        <item x="18"/>
        <item x="4"/>
        <item x="53"/>
        <item x="95"/>
        <item x="34"/>
        <item x="46"/>
        <item x="21"/>
        <item x="69"/>
        <item x="54"/>
        <item x="29"/>
        <item x="67"/>
        <item x="48"/>
        <item x="9"/>
        <item x="47"/>
        <item x="56"/>
        <item x="12"/>
        <item x="51"/>
        <item x="44"/>
        <item x="79"/>
        <item x="7"/>
        <item x="14"/>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4">
    <i>
      <x/>
    </i>
    <i i="1">
      <x v="1"/>
    </i>
    <i i="2">
      <x v="2"/>
    </i>
    <i i="3">
      <x v="3"/>
    </i>
  </colItems>
  <dataFields count="4">
    <dataField name="Total Sales" fld="8" baseField="0" baseItem="1" numFmtId="164"/>
    <dataField name="Avg Sales" fld="8" subtotal="average" baseField="0" baseItem="1" numFmtId="164"/>
    <dataField name="Total Orders" fld="0" subtotal="count" baseField="0" baseItem="1"/>
    <dataField name="Total Quantity" fld="6" baseField="0" baseItem="1"/>
  </dataFields>
  <formats count="11">
    <format dxfId="1098">
      <pivotArea type="all" dataOnly="0" outline="0" fieldPosition="0"/>
    </format>
    <format dxfId="1097">
      <pivotArea outline="0" collapsedLevelsAreSubtotals="1" fieldPosition="0"/>
    </format>
    <format dxfId="1096">
      <pivotArea dataOnly="0" labelOnly="1" outline="0" fieldPosition="0">
        <references count="1">
          <reference field="4294967294" count="4">
            <x v="0"/>
            <x v="1"/>
            <x v="2"/>
            <x v="3"/>
          </reference>
        </references>
      </pivotArea>
    </format>
    <format dxfId="1095">
      <pivotArea type="all" dataOnly="0" outline="0" fieldPosition="0"/>
    </format>
    <format dxfId="1094">
      <pivotArea outline="0" collapsedLevelsAreSubtotals="1" fieldPosition="0"/>
    </format>
    <format dxfId="1093">
      <pivotArea dataOnly="0" labelOnly="1" outline="0" fieldPosition="0">
        <references count="1">
          <reference field="4294967294" count="4">
            <x v="0"/>
            <x v="1"/>
            <x v="2"/>
            <x v="3"/>
          </reference>
        </references>
      </pivotArea>
    </format>
    <format dxfId="1092">
      <pivotArea type="all" dataOnly="0" outline="0" fieldPosition="0"/>
    </format>
    <format dxfId="1091">
      <pivotArea outline="0" collapsedLevelsAreSubtotals="1" fieldPosition="0"/>
    </format>
    <format dxfId="1090">
      <pivotArea dataOnly="0" labelOnly="1" outline="0" fieldPosition="0">
        <references count="1">
          <reference field="4294967294" count="4">
            <x v="0"/>
            <x v="1"/>
            <x v="2"/>
            <x v="3"/>
          </reference>
        </references>
      </pivotArea>
    </format>
    <format dxfId="1089">
      <pivotArea outline="0" collapsedLevelsAreSubtotals="1" fieldPosition="0">
        <references count="1">
          <reference field="4294967294" count="1" selected="0">
            <x v="0"/>
          </reference>
        </references>
      </pivotArea>
    </format>
    <format dxfId="108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0778E3A-1F84-4996-BAED-4BEF9839289A}" sourceName="Region">
  <pivotTables>
    <pivotTable tabId="2" name="Total Sales by Month"/>
    <pivotTable tabId="2" name="PivotTable7"/>
    <pivotTable tabId="2" name="Total Quantity by Warehouse"/>
    <pivotTable tabId="2" name="Total Quantity by C&amp;R"/>
    <pivotTable tabId="2" name="Total Quantity by Category"/>
    <pivotTable tabId="2" name="Total Quantity by Date "/>
    <pivotTable tabId="2" name="Total Sales by Region"/>
  </pivotTables>
  <data>
    <tabular pivotCacheId="376568680">
      <items count="8">
        <i x="3" s="1"/>
        <i x="0" s="1"/>
        <i x="6" s="1"/>
        <i x="2" s="1"/>
        <i x="7" s="1"/>
        <i x="1" s="1"/>
        <i x="5"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 xr10:uid="{EB0C5B85-9550-4F0D-AFA9-D78022356746}" sourceName="Warehouse">
  <pivotTables>
    <pivotTable tabId="2" name="Total Sales by Month"/>
    <pivotTable tabId="2" name="PivotTable7"/>
    <pivotTable tabId="2" name="Total Quantity by Warehouse"/>
    <pivotTable tabId="2" name="Total Quantity by C&amp;R"/>
    <pivotTable tabId="2" name="Total Quantity by Category"/>
    <pivotTable tabId="2" name="Total Quantity by Date "/>
    <pivotTable tabId="2" name="Total Sales by Region"/>
  </pivotTables>
  <data>
    <tabular pivotCacheId="376568680">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6F71AFA-628B-4613-BF8A-E788D75499DF}" cache="Slicer_Region" caption="Region" style="SlicerStyleLight2" rowHeight="254000"/>
  <slicer name="Warehouse" xr10:uid="{897A4270-D74D-4894-9788-6A31F10BC1AC}" cache="Slicer_Warehouse" caption="Warehouse" style="SlicerStyleLight2" rowHeight="25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21412-3FF4-42CB-A41C-021CCACC0A0F}">
  <dimension ref="A1:AD14"/>
  <sheetViews>
    <sheetView workbookViewId="0"/>
  </sheetViews>
  <sheetFormatPr defaultRowHeight="25.8" x14ac:dyDescent="1.3"/>
  <cols>
    <col min="1" max="1" width="13.41796875" style="2" bestFit="1" customWidth="1"/>
    <col min="2" max="2" width="15.578125" style="2" bestFit="1" customWidth="1"/>
    <col min="3" max="3" width="14.9453125" style="2" bestFit="1" customWidth="1"/>
    <col min="4" max="4" width="13.41796875" style="2" bestFit="1" customWidth="1"/>
    <col min="5" max="5" width="12.05078125" style="2" bestFit="1" customWidth="1"/>
    <col min="6" max="6" width="14.9453125" style="2" bestFit="1" customWidth="1"/>
    <col min="7" max="7" width="13.41796875" style="2" bestFit="1" customWidth="1"/>
    <col min="8" max="8" width="12.05078125" style="2" bestFit="1" customWidth="1"/>
    <col min="9" max="9" width="14.9453125" style="2" bestFit="1" customWidth="1"/>
    <col min="10" max="10" width="13.41796875" style="2" bestFit="1" customWidth="1"/>
    <col min="11" max="11" width="15.578125" style="2" bestFit="1" customWidth="1"/>
    <col min="12" max="12" width="14.9453125" style="2" bestFit="1" customWidth="1"/>
    <col min="13" max="13" width="13.41796875" style="2" bestFit="1" customWidth="1"/>
    <col min="14" max="14" width="15.578125" style="2" bestFit="1" customWidth="1"/>
    <col min="15" max="15" width="14.9453125" style="2" bestFit="1" customWidth="1"/>
    <col min="16" max="16" width="15.578125" style="2" bestFit="1" customWidth="1"/>
    <col min="17" max="17" width="16.578125" style="2" bestFit="1" customWidth="1"/>
    <col min="18" max="18" width="6.734375" style="2" bestFit="1" customWidth="1"/>
    <col min="19" max="19" width="5.83984375" style="2" bestFit="1" customWidth="1"/>
    <col min="20" max="20" width="4.89453125" style="2" bestFit="1" customWidth="1"/>
    <col min="21" max="21" width="6.26171875" style="2" bestFit="1" customWidth="1"/>
    <col min="22" max="22" width="9.83984375" style="2" bestFit="1" customWidth="1"/>
    <col min="23" max="23" width="9.1015625" style="2" bestFit="1" customWidth="1"/>
    <col min="24" max="24" width="6" style="2" bestFit="1" customWidth="1"/>
    <col min="25" max="25" width="11.89453125" style="2" bestFit="1" customWidth="1"/>
    <col min="26" max="26" width="14.9453125" style="2" bestFit="1" customWidth="1"/>
    <col min="27" max="27" width="11.20703125" style="2" bestFit="1" customWidth="1"/>
    <col min="28" max="28" width="9.3671875" style="2" bestFit="1" customWidth="1"/>
    <col min="29" max="29" width="12.3671875" style="2" bestFit="1" customWidth="1"/>
    <col min="30" max="30" width="14" style="2" bestFit="1" customWidth="1"/>
    <col min="31" max="64" width="14.9453125" style="2" bestFit="1" customWidth="1"/>
    <col min="65" max="65" width="9.9453125" style="2" bestFit="1" customWidth="1"/>
    <col min="66" max="83" width="14.9453125" style="2" bestFit="1" customWidth="1"/>
    <col min="84" max="84" width="9.9453125" style="2" bestFit="1" customWidth="1"/>
    <col min="85" max="249" width="17.05078125" style="2" bestFit="1" customWidth="1"/>
    <col min="250" max="250" width="15.47265625" style="2" bestFit="1" customWidth="1"/>
    <col min="251" max="251" width="18.26171875" style="2" bestFit="1" customWidth="1"/>
    <col min="252" max="252" width="21.47265625" style="2" bestFit="1" customWidth="1"/>
    <col min="253" max="300" width="17.05078125" style="2" bestFit="1" customWidth="1"/>
    <col min="301" max="301" width="15.47265625" style="2" bestFit="1" customWidth="1"/>
    <col min="302" max="302" width="18.26171875" style="2" bestFit="1" customWidth="1"/>
    <col min="303" max="303" width="21.47265625" style="2" bestFit="1" customWidth="1"/>
    <col min="304" max="16384" width="8.83984375" style="2"/>
  </cols>
  <sheetData>
    <row r="1" spans="1:30" x14ac:dyDescent="1.3">
      <c r="A1" s="1" t="s">
        <v>37</v>
      </c>
      <c r="B1" s="2" t="s">
        <v>38</v>
      </c>
      <c r="D1" s="1" t="s">
        <v>37</v>
      </c>
      <c r="E1" s="2" t="s">
        <v>22</v>
      </c>
      <c r="G1" s="1" t="s">
        <v>37</v>
      </c>
      <c r="H1" s="2" t="s">
        <v>22</v>
      </c>
      <c r="J1" s="1" t="s">
        <v>37</v>
      </c>
      <c r="K1" s="2" t="s">
        <v>38</v>
      </c>
      <c r="M1" s="1" t="s">
        <v>37</v>
      </c>
      <c r="N1" s="2" t="s">
        <v>38</v>
      </c>
      <c r="P1" s="1" t="s">
        <v>38</v>
      </c>
      <c r="Q1" s="1" t="s">
        <v>23</v>
      </c>
      <c r="AA1" s="2" t="s">
        <v>40</v>
      </c>
      <c r="AB1" s="2" t="s">
        <v>39</v>
      </c>
      <c r="AC1" s="2" t="s">
        <v>41</v>
      </c>
      <c r="AD1" s="2" t="s">
        <v>42</v>
      </c>
    </row>
    <row r="2" spans="1:30" x14ac:dyDescent="1.3">
      <c r="A2" s="3" t="s">
        <v>2</v>
      </c>
      <c r="B2" s="6">
        <v>642</v>
      </c>
      <c r="D2" s="3" t="s">
        <v>24</v>
      </c>
      <c r="E2" s="5">
        <v>41929.58</v>
      </c>
      <c r="G2" s="3" t="s">
        <v>10</v>
      </c>
      <c r="H2" s="5">
        <v>70051.91</v>
      </c>
      <c r="J2" s="3" t="s">
        <v>0</v>
      </c>
      <c r="K2" s="6">
        <v>582</v>
      </c>
      <c r="M2" s="3" t="s">
        <v>24</v>
      </c>
      <c r="N2" s="6">
        <v>149</v>
      </c>
      <c r="P2" s="1" t="s">
        <v>37</v>
      </c>
      <c r="Q2" s="2" t="s">
        <v>10</v>
      </c>
      <c r="R2" s="2" t="s">
        <v>1</v>
      </c>
      <c r="S2" s="2" t="s">
        <v>17</v>
      </c>
      <c r="T2" s="2" t="s">
        <v>7</v>
      </c>
      <c r="U2" s="2" t="s">
        <v>19</v>
      </c>
      <c r="V2" s="2" t="s">
        <v>4</v>
      </c>
      <c r="W2" s="2" t="s">
        <v>15</v>
      </c>
      <c r="X2" s="2" t="s">
        <v>12</v>
      </c>
      <c r="Y2" s="2" t="s">
        <v>36</v>
      </c>
      <c r="AA2" s="5">
        <v>465208.9800000001</v>
      </c>
      <c r="AB2" s="5">
        <v>4652.0898000000007</v>
      </c>
      <c r="AC2" s="6">
        <v>100</v>
      </c>
      <c r="AD2" s="6">
        <v>1971</v>
      </c>
    </row>
    <row r="3" spans="1:30" x14ac:dyDescent="1.3">
      <c r="A3" s="3" t="s">
        <v>8</v>
      </c>
      <c r="B3" s="6">
        <v>283</v>
      </c>
      <c r="D3" s="3" t="s">
        <v>25</v>
      </c>
      <c r="E3" s="5">
        <v>51792.21</v>
      </c>
      <c r="G3" s="3" t="s">
        <v>1</v>
      </c>
      <c r="H3" s="5">
        <v>93921.63</v>
      </c>
      <c r="J3" s="3" t="s">
        <v>18</v>
      </c>
      <c r="K3" s="6">
        <v>494</v>
      </c>
      <c r="M3" s="3" t="s">
        <v>25</v>
      </c>
      <c r="N3" s="6">
        <v>199</v>
      </c>
      <c r="P3" s="3" t="s">
        <v>2</v>
      </c>
      <c r="Q3" s="6">
        <v>72</v>
      </c>
      <c r="R3" s="6">
        <v>244</v>
      </c>
      <c r="S3" s="6">
        <v>14</v>
      </c>
      <c r="T3" s="6">
        <v>58</v>
      </c>
      <c r="U3" s="6">
        <v>34</v>
      </c>
      <c r="V3" s="6">
        <v>30</v>
      </c>
      <c r="W3" s="6">
        <v>161</v>
      </c>
      <c r="X3" s="6">
        <v>29</v>
      </c>
      <c r="Y3" s="6">
        <v>642</v>
      </c>
    </row>
    <row r="4" spans="1:30" x14ac:dyDescent="1.3">
      <c r="A4" s="3" t="s">
        <v>5</v>
      </c>
      <c r="B4" s="6">
        <v>725</v>
      </c>
      <c r="D4" s="3" t="s">
        <v>26</v>
      </c>
      <c r="E4" s="5">
        <v>34611.56</v>
      </c>
      <c r="G4" s="3" t="s">
        <v>17</v>
      </c>
      <c r="H4" s="5">
        <v>24693.39</v>
      </c>
      <c r="J4" s="3" t="s">
        <v>20</v>
      </c>
      <c r="K4" s="6">
        <v>510</v>
      </c>
      <c r="M4" s="3" t="s">
        <v>26</v>
      </c>
      <c r="N4" s="6">
        <v>152</v>
      </c>
      <c r="P4" s="4" t="s">
        <v>3</v>
      </c>
      <c r="Q4" s="6"/>
      <c r="R4" s="6">
        <v>174</v>
      </c>
      <c r="S4" s="6"/>
      <c r="T4" s="6">
        <v>41</v>
      </c>
      <c r="U4" s="6">
        <v>5</v>
      </c>
      <c r="V4" s="6">
        <v>30</v>
      </c>
      <c r="W4" s="6">
        <v>60</v>
      </c>
      <c r="X4" s="6">
        <v>29</v>
      </c>
      <c r="Y4" s="6">
        <v>339</v>
      </c>
    </row>
    <row r="5" spans="1:30" x14ac:dyDescent="1.3">
      <c r="A5" s="3" t="s">
        <v>13</v>
      </c>
      <c r="B5" s="6">
        <v>321</v>
      </c>
      <c r="D5" s="3" t="s">
        <v>27</v>
      </c>
      <c r="E5" s="5">
        <v>44994.15</v>
      </c>
      <c r="G5" s="3" t="s">
        <v>7</v>
      </c>
      <c r="H5" s="5">
        <v>50291.1</v>
      </c>
      <c r="J5" s="3" t="s">
        <v>21</v>
      </c>
      <c r="K5" s="6">
        <v>385</v>
      </c>
      <c r="M5" s="3" t="s">
        <v>27</v>
      </c>
      <c r="N5" s="6">
        <v>213</v>
      </c>
      <c r="P5" s="4" t="s">
        <v>16</v>
      </c>
      <c r="Q5" s="6">
        <v>72</v>
      </c>
      <c r="R5" s="6">
        <v>70</v>
      </c>
      <c r="S5" s="6">
        <v>14</v>
      </c>
      <c r="T5" s="6">
        <v>17</v>
      </c>
      <c r="U5" s="6">
        <v>29</v>
      </c>
      <c r="V5" s="6"/>
      <c r="W5" s="6">
        <v>101</v>
      </c>
      <c r="X5" s="6"/>
      <c r="Y5" s="6">
        <v>303</v>
      </c>
    </row>
    <row r="6" spans="1:30" x14ac:dyDescent="1.3">
      <c r="A6" s="3" t="s">
        <v>36</v>
      </c>
      <c r="B6" s="6">
        <v>1971</v>
      </c>
      <c r="D6" s="3" t="s">
        <v>28</v>
      </c>
      <c r="E6" s="5">
        <v>45878.020000000004</v>
      </c>
      <c r="G6" s="3" t="s">
        <v>19</v>
      </c>
      <c r="H6" s="5">
        <v>25014.11</v>
      </c>
      <c r="J6" s="3" t="s">
        <v>36</v>
      </c>
      <c r="K6" s="6">
        <v>1971</v>
      </c>
      <c r="M6" s="3" t="s">
        <v>28</v>
      </c>
      <c r="N6" s="6">
        <v>217</v>
      </c>
      <c r="P6" s="3" t="s">
        <v>8</v>
      </c>
      <c r="Q6" s="6">
        <v>33</v>
      </c>
      <c r="R6" s="6">
        <v>93</v>
      </c>
      <c r="S6" s="6">
        <v>13</v>
      </c>
      <c r="T6" s="6">
        <v>3</v>
      </c>
      <c r="U6" s="6">
        <v>39</v>
      </c>
      <c r="V6" s="6">
        <v>52</v>
      </c>
      <c r="W6" s="6">
        <v>17</v>
      </c>
      <c r="X6" s="6">
        <v>33</v>
      </c>
      <c r="Y6" s="6">
        <v>283</v>
      </c>
    </row>
    <row r="7" spans="1:30" x14ac:dyDescent="1.3">
      <c r="A7"/>
      <c r="B7"/>
      <c r="D7" s="3" t="s">
        <v>29</v>
      </c>
      <c r="E7" s="5">
        <v>18790.09</v>
      </c>
      <c r="G7" s="3" t="s">
        <v>4</v>
      </c>
      <c r="H7" s="5">
        <v>76583.179999999993</v>
      </c>
      <c r="M7" s="3" t="s">
        <v>29</v>
      </c>
      <c r="N7" s="6">
        <v>83</v>
      </c>
      <c r="P7" s="4" t="s">
        <v>9</v>
      </c>
      <c r="Q7" s="6">
        <v>33</v>
      </c>
      <c r="R7" s="6">
        <v>93</v>
      </c>
      <c r="S7" s="6">
        <v>13</v>
      </c>
      <c r="T7" s="6">
        <v>3</v>
      </c>
      <c r="U7" s="6">
        <v>39</v>
      </c>
      <c r="V7" s="6">
        <v>52</v>
      </c>
      <c r="W7" s="6">
        <v>17</v>
      </c>
      <c r="X7" s="6">
        <v>33</v>
      </c>
      <c r="Y7" s="6">
        <v>283</v>
      </c>
    </row>
    <row r="8" spans="1:30" x14ac:dyDescent="1.3">
      <c r="A8"/>
      <c r="B8"/>
      <c r="D8" s="3" t="s">
        <v>30</v>
      </c>
      <c r="E8" s="5">
        <v>58481.259999999995</v>
      </c>
      <c r="G8" s="3" t="s">
        <v>15</v>
      </c>
      <c r="H8" s="5">
        <v>78202.019999999975</v>
      </c>
      <c r="M8" s="3" t="s">
        <v>30</v>
      </c>
      <c r="N8" s="6">
        <v>227</v>
      </c>
      <c r="P8" s="3" t="s">
        <v>5</v>
      </c>
      <c r="Q8" s="6">
        <v>101</v>
      </c>
      <c r="R8" s="6">
        <v>100</v>
      </c>
      <c r="S8" s="6">
        <v>70</v>
      </c>
      <c r="T8" s="6">
        <v>162</v>
      </c>
      <c r="U8" s="6">
        <v>54</v>
      </c>
      <c r="V8" s="6">
        <v>129</v>
      </c>
      <c r="W8" s="6">
        <v>55</v>
      </c>
      <c r="X8" s="6">
        <v>54</v>
      </c>
      <c r="Y8" s="6">
        <v>725</v>
      </c>
    </row>
    <row r="9" spans="1:30" x14ac:dyDescent="1.3">
      <c r="A9"/>
      <c r="B9"/>
      <c r="D9" s="3" t="s">
        <v>31</v>
      </c>
      <c r="E9" s="5">
        <v>40455.1</v>
      </c>
      <c r="G9" s="3" t="s">
        <v>12</v>
      </c>
      <c r="H9" s="5">
        <v>46451.640000000007</v>
      </c>
      <c r="M9" s="3" t="s">
        <v>31</v>
      </c>
      <c r="N9" s="6">
        <v>212</v>
      </c>
      <c r="P9" s="4" t="s">
        <v>11</v>
      </c>
      <c r="Q9" s="6">
        <v>17</v>
      </c>
      <c r="R9" s="6">
        <v>100</v>
      </c>
      <c r="S9" s="6"/>
      <c r="T9" s="6">
        <v>84</v>
      </c>
      <c r="U9" s="6">
        <v>17</v>
      </c>
      <c r="V9" s="6">
        <v>40</v>
      </c>
      <c r="W9" s="6">
        <v>25</v>
      </c>
      <c r="X9" s="6">
        <v>26</v>
      </c>
      <c r="Y9" s="6">
        <v>309</v>
      </c>
    </row>
    <row r="10" spans="1:30" x14ac:dyDescent="1.3">
      <c r="A10"/>
      <c r="B10"/>
      <c r="D10" s="3" t="s">
        <v>32</v>
      </c>
      <c r="E10" s="5">
        <v>51482.559999999998</v>
      </c>
      <c r="G10" s="3" t="s">
        <v>36</v>
      </c>
      <c r="H10" s="5">
        <v>465208.98</v>
      </c>
      <c r="M10" s="3" t="s">
        <v>32</v>
      </c>
      <c r="N10" s="6">
        <v>200</v>
      </c>
      <c r="P10" s="4" t="s">
        <v>6</v>
      </c>
      <c r="Q10" s="6">
        <v>84</v>
      </c>
      <c r="R10" s="6"/>
      <c r="S10" s="6">
        <v>70</v>
      </c>
      <c r="T10" s="6">
        <v>78</v>
      </c>
      <c r="U10" s="6">
        <v>37</v>
      </c>
      <c r="V10" s="6">
        <v>89</v>
      </c>
      <c r="W10" s="6">
        <v>30</v>
      </c>
      <c r="X10" s="6">
        <v>28</v>
      </c>
      <c r="Y10" s="6">
        <v>416</v>
      </c>
    </row>
    <row r="11" spans="1:30" x14ac:dyDescent="1.3">
      <c r="A11"/>
      <c r="B11"/>
      <c r="D11" s="3" t="s">
        <v>33</v>
      </c>
      <c r="E11" s="5">
        <v>4613.5</v>
      </c>
      <c r="M11" s="3" t="s">
        <v>33</v>
      </c>
      <c r="N11" s="6">
        <v>10</v>
      </c>
      <c r="P11" s="3" t="s">
        <v>13</v>
      </c>
      <c r="Q11" s="6">
        <v>53</v>
      </c>
      <c r="R11" s="6"/>
      <c r="S11" s="6">
        <v>35</v>
      </c>
      <c r="T11" s="6">
        <v>2</v>
      </c>
      <c r="U11" s="6">
        <v>42</v>
      </c>
      <c r="V11" s="6">
        <v>83</v>
      </c>
      <c r="W11" s="6">
        <v>61</v>
      </c>
      <c r="X11" s="6">
        <v>45</v>
      </c>
      <c r="Y11" s="6">
        <v>321</v>
      </c>
    </row>
    <row r="12" spans="1:30" x14ac:dyDescent="1.3">
      <c r="A12"/>
      <c r="B12"/>
      <c r="D12" s="3" t="s">
        <v>34</v>
      </c>
      <c r="E12" s="5">
        <v>62235.530000000013</v>
      </c>
      <c r="M12" s="3" t="s">
        <v>34</v>
      </c>
      <c r="N12" s="6">
        <v>226</v>
      </c>
      <c r="P12" s="4" t="s">
        <v>14</v>
      </c>
      <c r="Q12" s="6">
        <v>53</v>
      </c>
      <c r="R12" s="6"/>
      <c r="S12" s="6">
        <v>35</v>
      </c>
      <c r="T12" s="6">
        <v>2</v>
      </c>
      <c r="U12" s="6">
        <v>42</v>
      </c>
      <c r="V12" s="6">
        <v>83</v>
      </c>
      <c r="W12" s="6">
        <v>61</v>
      </c>
      <c r="X12" s="6">
        <v>45</v>
      </c>
      <c r="Y12" s="6">
        <v>321</v>
      </c>
    </row>
    <row r="13" spans="1:30" x14ac:dyDescent="1.3">
      <c r="D13" s="3" t="s">
        <v>35</v>
      </c>
      <c r="E13" s="5">
        <v>9945.42</v>
      </c>
      <c r="M13" s="3" t="s">
        <v>35</v>
      </c>
      <c r="N13" s="6">
        <v>83</v>
      </c>
      <c r="P13" s="3" t="s">
        <v>36</v>
      </c>
      <c r="Q13" s="6">
        <v>259</v>
      </c>
      <c r="R13" s="6">
        <v>437</v>
      </c>
      <c r="S13" s="6">
        <v>132</v>
      </c>
      <c r="T13" s="6">
        <v>225</v>
      </c>
      <c r="U13" s="6">
        <v>169</v>
      </c>
      <c r="V13" s="6">
        <v>294</v>
      </c>
      <c r="W13" s="6">
        <v>294</v>
      </c>
      <c r="X13" s="6">
        <v>161</v>
      </c>
      <c r="Y13" s="6">
        <v>1971</v>
      </c>
    </row>
    <row r="14" spans="1:30" x14ac:dyDescent="1.3">
      <c r="D14" s="3" t="s">
        <v>36</v>
      </c>
      <c r="E14" s="5">
        <v>465208.98</v>
      </c>
      <c r="M14" s="3" t="s">
        <v>36</v>
      </c>
      <c r="N14" s="6">
        <v>1971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77E9F-9395-4E6C-980F-FAF18882D845}">
  <dimension ref="A1"/>
  <sheetViews>
    <sheetView showGridLines="0" tabSelected="1" zoomScale="84" workbookViewId="0">
      <selection activeCell="Z31" sqref="Z31"/>
    </sheetView>
  </sheetViews>
  <sheetFormatPr defaultRowHeight="14.4"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5BD73A-4B77-44EA-B434-08D87DFF5A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Adham Ashraf Saeed</dc:creator>
  <cp:lastModifiedBy>Adham Ashraf Saeed</cp:lastModifiedBy>
  <dcterms:created xsi:type="dcterms:W3CDTF">2026-06-19T16:52:36Z</dcterms:created>
  <dcterms:modified xsi:type="dcterms:W3CDTF">2026-06-20T20:25:18Z</dcterms:modified>
</cp:coreProperties>
</file>