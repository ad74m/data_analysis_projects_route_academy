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oute\Assignments\Database &amp; SQL\Assignment 2\"/>
    </mc:Choice>
  </mc:AlternateContent>
  <xr:revisionPtr revIDLastSave="0" documentId="8_{8CD6D22F-D7B1-4300-AF08-016AF9D34E88}" xr6:coauthVersionLast="47" xr6:coauthVersionMax="47" xr10:uidLastSave="{00000000-0000-0000-0000-000000000000}"/>
  <bookViews>
    <workbookView xWindow="-96" yWindow="384" windowWidth="23232" windowHeight="14112" activeTab="4" xr2:uid="{35309E24-F95B-4760-9DEA-6C9E6231A9FC}"/>
  </bookViews>
  <sheets>
    <sheet name="Data" sheetId="1" r:id="rId1"/>
    <sheet name="1NF" sheetId="6" r:id="rId2"/>
    <sheet name="2NF" sheetId="7" r:id="rId3"/>
    <sheet name="3NF" sheetId="9" r:id="rId4"/>
    <sheet name="Mapping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2" i="6" l="1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" i="1"/>
</calcChain>
</file>

<file path=xl/sharedStrings.xml><?xml version="1.0" encoding="utf-8"?>
<sst xmlns="http://schemas.openxmlformats.org/spreadsheetml/2006/main" count="225" uniqueCount="42">
  <si>
    <t>PROJ_NUM</t>
  </si>
  <si>
    <t>PROJECT_NAME</t>
  </si>
  <si>
    <t>EMP_NUM</t>
  </si>
  <si>
    <t>JOB_CLASS</t>
  </si>
  <si>
    <t>CHG_HOUR</t>
  </si>
  <si>
    <t>HOURS_BILLED</t>
  </si>
  <si>
    <t>Evergreen</t>
  </si>
  <si>
    <t>June E. Arbough</t>
  </si>
  <si>
    <t>Elec. Engineer</t>
  </si>
  <si>
    <t>John G. News</t>
  </si>
  <si>
    <t>Database Designer</t>
  </si>
  <si>
    <t>Alice K. Johnson</t>
  </si>
  <si>
    <t>William Smithfield</t>
  </si>
  <si>
    <t>Programmer</t>
  </si>
  <si>
    <t>David H. Senior</t>
  </si>
  <si>
    <t>Systems Analyst</t>
  </si>
  <si>
    <t>Amber Wave</t>
  </si>
  <si>
    <t>Annelise Jones</t>
  </si>
  <si>
    <t>Applications Designer</t>
  </si>
  <si>
    <t>James J. Frommer</t>
  </si>
  <si>
    <t>General Support</t>
  </si>
  <si>
    <t>Anne K. Ramoras</t>
  </si>
  <si>
    <t>Darlene M. Smithson</t>
  </si>
  <si>
    <t>DSS Analyst</t>
  </si>
  <si>
    <t>Rolling Tide</t>
  </si>
  <si>
    <t>Delbert K. Joenbrood</t>
  </si>
  <si>
    <t>Geoff B. Wabash</t>
  </si>
  <si>
    <t>Clerical Support</t>
  </si>
  <si>
    <t>Starflight</t>
  </si>
  <si>
    <t>Maria D. Alonzo</t>
  </si>
  <si>
    <t>Travis B. Bawangi</t>
  </si>
  <si>
    <t>Ralph B. Washington</t>
  </si>
  <si>
    <t>TOTAL CHARGE</t>
  </si>
  <si>
    <t>EMPLOYEE_NAME</t>
  </si>
  <si>
    <t>Project</t>
  </si>
  <si>
    <t>Employee</t>
  </si>
  <si>
    <t>PROJ_NUM (PK)</t>
  </si>
  <si>
    <t>EMP_NUM (PK)</t>
  </si>
  <si>
    <t>Assignment</t>
  </si>
  <si>
    <t>Job</t>
  </si>
  <si>
    <t>JOB_CLASS(PK)</t>
  </si>
  <si>
    <t>TOTAL_CHARGE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</si>
</sst>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&quot;$&quot;#,##0.00"/>
    <numFmt numFmtId="170" formatCode="0.0"/>
  </numFmts>
  <fonts count="3" x14ac:knownFonts="1">
    <font>
      <sz val="11"/>
      <color theme="1"/>
      <name val="Aptos Narrow"/>
      <family val="2"/>
      <scheme val="minor"/>
    </font>
    <font>
      <sz val="18"/>
      <color theme="1"/>
      <name val="Angsana New"/>
      <family val="1"/>
      <charset val="222"/>
    </font>
    <font>
      <b/>
      <sz val="36"/>
      <color theme="1"/>
      <name val="Angsana New"/>
      <family val="1"/>
      <charset val="222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/>
    <xf numFmtId="169" fontId="1" fillId="0" borderId="0" xfId="0" applyNumberFormat="1" applyFont="1" applyAlignment="1">
      <alignment horizontal="center"/>
    </xf>
    <xf numFmtId="170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0" fontId="2" fillId="4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/>
    <xf numFmtId="49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9" formatCode="&quot;$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9" formatCode="&quot;$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70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9" formatCode="&quot;$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70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9" formatCode="&quot;$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9" formatCode="&quot;$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70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9" formatCode="&quot;$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407670</xdr:colOff>
      <xdr:row>0</xdr:row>
      <xdr:rowOff>0</xdr:rowOff>
    </xdr:from>
    <xdr:to>
      <xdr:col>21</xdr:col>
      <xdr:colOff>293370</xdr:colOff>
      <xdr:row>36</xdr:row>
      <xdr:rowOff>69882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238FE6-297B-AB19-2D30-CEE857D0A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7670" y="0"/>
          <a:ext cx="13327380" cy="665356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BD6065-AF66-4E20-91FE-7B8977680924}" name="Table1" displayName="Table1" ref="A1:H22" totalsRowShown="0" headerRowDxfId="35" dataDxfId="36">
  <tableColumns count="8">
    <tableColumn id="1" xr3:uid="{CC5CA6BF-5BD7-4D44-AEEB-FC6DA20586EC}" name="PROJ_NUM" dataDxfId="44"/>
    <tableColumn id="2" xr3:uid="{A7259D9B-4041-4F5E-8742-85E585ED64DA}" name="PROJECT_NAME" dataDxfId="43"/>
    <tableColumn id="3" xr3:uid="{FE67AA91-B1D3-4CC3-BAC4-020424867173}" name="EMP_NUM" dataDxfId="42"/>
    <tableColumn id="4" xr3:uid="{6F02ED30-D126-47EC-9D26-74CF56A7B0F7}" name="EMPLOYEE_NAME" dataDxfId="41"/>
    <tableColumn id="5" xr3:uid="{15CCE950-D548-4DEC-ABD4-C48486E26BD2}" name="JOB_CLASS" dataDxfId="40"/>
    <tableColumn id="6" xr3:uid="{F636B620-20EB-46F0-8598-AE74BDBEDF65}" name="CHG_HOUR" dataDxfId="39"/>
    <tableColumn id="7" xr3:uid="{6A000F1A-DEEB-4E69-A253-4EAD2935891E}" name="HOURS_BILLED" dataDxfId="38"/>
    <tableColumn id="8" xr3:uid="{F1E60B13-5CDD-4C5C-A0BD-AF5AC0D3133D}" name="TOTAL_CHARGE" dataDxfId="37">
      <calculatedColumnFormula>F2*G2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D748F3-356B-4045-837C-0E39D66BA6AC}" name="Table13" displayName="Table13" ref="A3:B7" totalsRowShown="0" headerRowDxfId="34" dataDxfId="33">
  <tableColumns count="2">
    <tableColumn id="1" xr3:uid="{FF20D283-9862-475D-85D5-98F19E108D91}" name="PROJ_NUM (PK)" dataDxfId="32"/>
    <tableColumn id="2" xr3:uid="{B7ADAF6E-5A15-4970-B6A4-7A254DE627D3}" name="PROJECT_NAME" dataDxfId="3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FCC0FB-2E0B-4D28-8CF8-0B7541BD8156}" name="Table134" displayName="Table134" ref="F3:I17" totalsRowShown="0" headerRowDxfId="30" dataDxfId="29">
  <tableColumns count="4">
    <tableColumn id="3" xr3:uid="{99A8726F-9540-4529-96F3-FDEE052745A3}" name="EMP_NUM (PK)" dataDxfId="28"/>
    <tableColumn id="4" xr3:uid="{733A7C7C-76E4-450F-9E04-AD5758A21EB1}" name="EMPLOYEE_NAME" dataDxfId="27"/>
    <tableColumn id="5" xr3:uid="{F3DCA788-C4CB-48A0-89B5-8C68BE1DC243}" name="JOB_CLASS" dataDxfId="26"/>
    <tableColumn id="6" xr3:uid="{CD753AC6-5974-4BD0-8422-B8EA348AA1FE}" name="CHG_HOUR" dataDxfId="2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0189B54-7573-487B-888E-BCEE17648F32}" name="Table1345" displayName="Table1345" ref="M3:P24" totalsRowShown="0" headerRowDxfId="24" dataDxfId="23">
  <tableColumns count="4">
    <tableColumn id="1" xr3:uid="{72100D81-96C7-4B88-BCBB-3D98ED190C6B}" name="PROJ_NUM (PK)" dataDxfId="22"/>
    <tableColumn id="3" xr3:uid="{7382996A-BFAC-4A01-93AA-869AD14C2644}" name="EMP_NUM (PK)" dataDxfId="21"/>
    <tableColumn id="7" xr3:uid="{28D44F65-5ABA-480B-B0C2-24891DE00C5C}" name="HOURS_BILLED" dataDxfId="20"/>
    <tableColumn id="8" xr3:uid="{56D79254-1165-40C8-891D-75A6E994050E}" name="TOTAL_CHARGE" dataDxfId="1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49B7FB8-E093-47A3-8997-68B4A7C12592}" name="Table136" displayName="Table136" ref="A3:B7" totalsRowShown="0" headerRowDxfId="18" dataDxfId="17">
  <tableColumns count="2">
    <tableColumn id="1" xr3:uid="{64B76525-C39A-47FA-8205-4E6BD1DDDB01}" name="PROJ_NUM (PK)" dataDxfId="16"/>
    <tableColumn id="2" xr3:uid="{49351D8B-70EA-4710-B283-E6132477E4B4}" name="PROJECT_NAME" dataDxfId="1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BF5022C-8972-4E02-A4A3-D30AE23DF7CE}" name="Table1347" displayName="Table1347" ref="F3:H17" totalsRowShown="0" headerRowDxfId="14" dataDxfId="13">
  <tableColumns count="3">
    <tableColumn id="3" xr3:uid="{36909414-E5B3-4B20-900F-9460588F3BD1}" name="EMP_NUM (PK)" dataDxfId="12"/>
    <tableColumn id="4" xr3:uid="{7E94DE06-015A-492A-92C6-F315C971929F}" name="EMPLOYEE_NAME" dataDxfId="11"/>
    <tableColumn id="5" xr3:uid="{75D559E5-2258-4B03-91B6-8EE4DEBF51B3}" name="JOB_CLASS" dataDxfId="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BF405B1-DAAD-447A-9BD3-A1D65CF2D4EC}" name="Table13458" displayName="Table13458" ref="Q3:T24" totalsRowShown="0" headerRowDxfId="10" dataDxfId="9">
  <tableColumns count="4">
    <tableColumn id="1" xr3:uid="{23517129-CB44-438D-8779-CF9736A05921}" name="PROJ_NUM (PK)" dataDxfId="8"/>
    <tableColumn id="3" xr3:uid="{E8FBDBE5-190A-4E17-9ACB-3A42582CDCC0}" name="EMP_NUM (PK)" dataDxfId="7"/>
    <tableColumn id="7" xr3:uid="{D5246160-BE0E-4815-B40D-876358310F49}" name="HOURS_BILLED" dataDxfId="6"/>
    <tableColumn id="8" xr3:uid="{071AE19A-4F38-4458-8768-3C2D66D5B83E}" name="TOTAL_CHARGE" dataDxfId="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E708728-B911-4DC0-9E0D-22B50906431F}" name="Table13479" displayName="Table13479" ref="L3:M11" totalsRowShown="0" headerRowDxfId="4" dataDxfId="3">
  <tableColumns count="2">
    <tableColumn id="5" xr3:uid="{872EBE24-8B72-4FC4-B900-6D303B40B0C0}" name="JOB_CLASS(PK)" dataDxfId="2"/>
    <tableColumn id="6" xr3:uid="{544EA5BE-09A0-415A-84C0-54B190403DD6}" name="CHG_HOU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D8200-E855-403B-A407-C00461CB3127}">
  <dimension ref="A1:I22"/>
  <sheetViews>
    <sheetView topLeftCell="A3" zoomScaleNormal="100" workbookViewId="0">
      <selection activeCell="N10" sqref="N10"/>
    </sheetView>
  </sheetViews>
  <sheetFormatPr defaultRowHeight="25.8" x14ac:dyDescent="1.3"/>
  <cols>
    <col min="1" max="1" width="11.5234375" style="1" bestFit="1" customWidth="1"/>
    <col min="2" max="2" width="16.83984375" style="8" bestFit="1" customWidth="1"/>
    <col min="3" max="3" width="11" style="1" bestFit="1" customWidth="1"/>
    <col min="4" max="4" width="19.20703125" style="8" bestFit="1" customWidth="1"/>
    <col min="5" max="5" width="19.68359375" style="8" bestFit="1" customWidth="1"/>
    <col min="6" max="6" width="12.1015625" style="1" bestFit="1" customWidth="1"/>
    <col min="7" max="7" width="16.3125" style="1" bestFit="1" customWidth="1"/>
    <col min="8" max="8" width="16.734375" style="1" bestFit="1" customWidth="1"/>
    <col min="9" max="9" width="11.7890625" style="1" bestFit="1" customWidth="1"/>
    <col min="10" max="16384" width="8.83984375" style="1"/>
  </cols>
  <sheetData>
    <row r="1" spans="1:9" x14ac:dyDescent="1.3">
      <c r="A1" s="2" t="s">
        <v>0</v>
      </c>
      <c r="B1" s="7" t="s">
        <v>1</v>
      </c>
      <c r="C1" s="2" t="s">
        <v>2</v>
      </c>
      <c r="D1" s="7" t="s">
        <v>33</v>
      </c>
      <c r="E1" s="7" t="s">
        <v>3</v>
      </c>
      <c r="F1" s="2" t="s">
        <v>4</v>
      </c>
      <c r="G1" s="2" t="s">
        <v>5</v>
      </c>
      <c r="H1" s="2" t="s">
        <v>32</v>
      </c>
      <c r="I1" s="2"/>
    </row>
    <row r="2" spans="1:9" x14ac:dyDescent="1.3">
      <c r="A2" s="2">
        <v>15</v>
      </c>
      <c r="B2" s="7" t="s">
        <v>6</v>
      </c>
      <c r="C2" s="2">
        <v>103</v>
      </c>
      <c r="D2" s="7" t="s">
        <v>7</v>
      </c>
      <c r="E2" s="7" t="s">
        <v>8</v>
      </c>
      <c r="F2" s="5">
        <v>85.5</v>
      </c>
      <c r="G2" s="6">
        <v>23.8</v>
      </c>
      <c r="H2" s="5">
        <f>F2*G2</f>
        <v>2034.9</v>
      </c>
      <c r="I2" s="2"/>
    </row>
    <row r="3" spans="1:9" x14ac:dyDescent="1.3">
      <c r="A3" s="2"/>
      <c r="B3" s="7"/>
      <c r="C3" s="2">
        <v>101</v>
      </c>
      <c r="D3" s="7" t="s">
        <v>9</v>
      </c>
      <c r="E3" s="7" t="s">
        <v>10</v>
      </c>
      <c r="F3" s="5">
        <v>105</v>
      </c>
      <c r="G3" s="6">
        <v>19.399999999999999</v>
      </c>
      <c r="H3" s="5">
        <f t="shared" ref="H3:H22" si="0">F3*G3</f>
        <v>2036.9999999999998</v>
      </c>
      <c r="I3" s="2"/>
    </row>
    <row r="4" spans="1:9" x14ac:dyDescent="1.3">
      <c r="A4" s="2"/>
      <c r="B4" s="7"/>
      <c r="C4" s="2">
        <v>105</v>
      </c>
      <c r="D4" s="7" t="s">
        <v>11</v>
      </c>
      <c r="E4" s="7" t="s">
        <v>10</v>
      </c>
      <c r="F4" s="5">
        <v>105</v>
      </c>
      <c r="G4" s="6">
        <v>35.700000000000003</v>
      </c>
      <c r="H4" s="5">
        <f t="shared" si="0"/>
        <v>3748.5000000000005</v>
      </c>
      <c r="I4" s="2"/>
    </row>
    <row r="5" spans="1:9" x14ac:dyDescent="1.3">
      <c r="A5" s="2"/>
      <c r="B5" s="7"/>
      <c r="C5" s="2">
        <v>106</v>
      </c>
      <c r="D5" s="7" t="s">
        <v>12</v>
      </c>
      <c r="E5" s="7" t="s">
        <v>13</v>
      </c>
      <c r="F5" s="5">
        <v>35.75</v>
      </c>
      <c r="G5" s="6">
        <v>12.6</v>
      </c>
      <c r="H5" s="5">
        <f t="shared" si="0"/>
        <v>450.45</v>
      </c>
      <c r="I5" s="2"/>
    </row>
    <row r="6" spans="1:9" x14ac:dyDescent="1.3">
      <c r="A6" s="2"/>
      <c r="B6" s="7"/>
      <c r="C6" s="2">
        <v>102</v>
      </c>
      <c r="D6" s="7" t="s">
        <v>14</v>
      </c>
      <c r="E6" s="7" t="s">
        <v>15</v>
      </c>
      <c r="F6" s="5">
        <v>96.75</v>
      </c>
      <c r="G6" s="6">
        <v>23.8</v>
      </c>
      <c r="H6" s="5">
        <f t="shared" si="0"/>
        <v>2302.65</v>
      </c>
      <c r="I6" s="2"/>
    </row>
    <row r="7" spans="1:9" x14ac:dyDescent="1.3">
      <c r="A7" s="2">
        <v>18</v>
      </c>
      <c r="B7" s="7" t="s">
        <v>16</v>
      </c>
      <c r="C7" s="2">
        <v>114</v>
      </c>
      <c r="D7" s="7" t="s">
        <v>17</v>
      </c>
      <c r="E7" s="7" t="s">
        <v>18</v>
      </c>
      <c r="F7" s="5">
        <v>48.1</v>
      </c>
      <c r="G7" s="6">
        <v>25.6</v>
      </c>
      <c r="H7" s="5">
        <f t="shared" si="0"/>
        <v>1231.3600000000001</v>
      </c>
    </row>
    <row r="8" spans="1:9" x14ac:dyDescent="1.3">
      <c r="A8" s="2"/>
      <c r="B8" s="7"/>
      <c r="C8" s="2">
        <v>118</v>
      </c>
      <c r="D8" s="7" t="s">
        <v>19</v>
      </c>
      <c r="E8" s="7" t="s">
        <v>20</v>
      </c>
      <c r="F8" s="5">
        <v>18.36</v>
      </c>
      <c r="G8" s="6">
        <v>45.3</v>
      </c>
      <c r="H8" s="5">
        <f t="shared" si="0"/>
        <v>831.70799999999997</v>
      </c>
    </row>
    <row r="9" spans="1:9" x14ac:dyDescent="1.3">
      <c r="A9" s="2"/>
      <c r="B9" s="7"/>
      <c r="C9" s="2">
        <v>104</v>
      </c>
      <c r="D9" s="7" t="s">
        <v>21</v>
      </c>
      <c r="E9" s="7" t="s">
        <v>15</v>
      </c>
      <c r="F9" s="5">
        <v>96.75</v>
      </c>
      <c r="G9" s="6">
        <v>32.4</v>
      </c>
      <c r="H9" s="5">
        <f t="shared" si="0"/>
        <v>3134.7</v>
      </c>
    </row>
    <row r="10" spans="1:9" x14ac:dyDescent="1.3">
      <c r="A10" s="2"/>
      <c r="B10" s="7"/>
      <c r="C10" s="2">
        <v>112</v>
      </c>
      <c r="D10" s="7" t="s">
        <v>22</v>
      </c>
      <c r="E10" s="7" t="s">
        <v>23</v>
      </c>
      <c r="F10" s="5">
        <v>45.95</v>
      </c>
      <c r="G10" s="6">
        <v>45</v>
      </c>
      <c r="H10" s="5">
        <f t="shared" si="0"/>
        <v>2067.75</v>
      </c>
    </row>
    <row r="11" spans="1:9" x14ac:dyDescent="1.3">
      <c r="A11" s="2">
        <v>22</v>
      </c>
      <c r="B11" s="7" t="s">
        <v>24</v>
      </c>
      <c r="C11" s="2">
        <v>105</v>
      </c>
      <c r="D11" s="7" t="s">
        <v>11</v>
      </c>
      <c r="E11" s="7" t="s">
        <v>10</v>
      </c>
      <c r="F11" s="5">
        <v>105</v>
      </c>
      <c r="G11" s="6">
        <v>65.7</v>
      </c>
      <c r="H11" s="5">
        <f t="shared" si="0"/>
        <v>6898.5</v>
      </c>
    </row>
    <row r="12" spans="1:9" x14ac:dyDescent="1.3">
      <c r="A12" s="2"/>
      <c r="B12" s="7"/>
      <c r="C12" s="2">
        <v>104</v>
      </c>
      <c r="D12" s="7" t="s">
        <v>21</v>
      </c>
      <c r="E12" s="7" t="s">
        <v>15</v>
      </c>
      <c r="F12" s="5">
        <v>96.75</v>
      </c>
      <c r="G12" s="6">
        <v>48.4</v>
      </c>
      <c r="H12" s="5">
        <f t="shared" si="0"/>
        <v>4682.7</v>
      </c>
    </row>
    <row r="13" spans="1:9" x14ac:dyDescent="1.3">
      <c r="A13" s="2"/>
      <c r="B13" s="7"/>
      <c r="C13" s="2">
        <v>113</v>
      </c>
      <c r="D13" s="7" t="s">
        <v>25</v>
      </c>
      <c r="E13" s="7" t="s">
        <v>18</v>
      </c>
      <c r="F13" s="5">
        <v>48.1</v>
      </c>
      <c r="G13" s="6">
        <v>23.6</v>
      </c>
      <c r="H13" s="5">
        <f t="shared" si="0"/>
        <v>1135.1600000000001</v>
      </c>
    </row>
    <row r="14" spans="1:9" x14ac:dyDescent="1.3">
      <c r="A14" s="2"/>
      <c r="B14" s="7"/>
      <c r="C14" s="2">
        <v>111</v>
      </c>
      <c r="D14" s="7" t="s">
        <v>26</v>
      </c>
      <c r="E14" s="7" t="s">
        <v>27</v>
      </c>
      <c r="F14" s="5">
        <v>26.87</v>
      </c>
      <c r="G14" s="6">
        <v>22</v>
      </c>
      <c r="H14" s="5">
        <f t="shared" si="0"/>
        <v>591.14</v>
      </c>
    </row>
    <row r="15" spans="1:9" x14ac:dyDescent="1.3">
      <c r="A15" s="2"/>
      <c r="B15" s="7"/>
      <c r="C15" s="2">
        <v>106</v>
      </c>
      <c r="D15" s="7" t="s">
        <v>12</v>
      </c>
      <c r="E15" s="7" t="s">
        <v>13</v>
      </c>
      <c r="F15" s="5">
        <v>35.75</v>
      </c>
      <c r="G15" s="6">
        <v>12.8</v>
      </c>
      <c r="H15" s="5">
        <f t="shared" si="0"/>
        <v>457.6</v>
      </c>
    </row>
    <row r="16" spans="1:9" x14ac:dyDescent="1.3">
      <c r="A16" s="2">
        <v>25</v>
      </c>
      <c r="B16" s="7" t="s">
        <v>28</v>
      </c>
      <c r="C16" s="2">
        <v>107</v>
      </c>
      <c r="D16" s="7" t="s">
        <v>29</v>
      </c>
      <c r="E16" s="7" t="s">
        <v>13</v>
      </c>
      <c r="F16" s="5">
        <v>35.75</v>
      </c>
      <c r="G16" s="6">
        <v>25.6</v>
      </c>
      <c r="H16" s="5">
        <f t="shared" si="0"/>
        <v>915.2</v>
      </c>
    </row>
    <row r="17" spans="1:8" x14ac:dyDescent="1.3">
      <c r="A17" s="2"/>
      <c r="B17" s="7"/>
      <c r="C17" s="2">
        <v>115</v>
      </c>
      <c r="D17" s="7" t="s">
        <v>30</v>
      </c>
      <c r="E17" s="7" t="s">
        <v>15</v>
      </c>
      <c r="F17" s="5">
        <v>96.75</v>
      </c>
      <c r="G17" s="6">
        <v>45.8</v>
      </c>
      <c r="H17" s="5">
        <f t="shared" si="0"/>
        <v>4431.1499999999996</v>
      </c>
    </row>
    <row r="18" spans="1:8" x14ac:dyDescent="1.3">
      <c r="A18" s="2"/>
      <c r="B18" s="7"/>
      <c r="C18" s="2">
        <v>101</v>
      </c>
      <c r="D18" s="7" t="s">
        <v>9</v>
      </c>
      <c r="E18" s="7" t="s">
        <v>10</v>
      </c>
      <c r="F18" s="5">
        <v>105</v>
      </c>
      <c r="G18" s="6">
        <v>56.3</v>
      </c>
      <c r="H18" s="5">
        <f t="shared" si="0"/>
        <v>5911.5</v>
      </c>
    </row>
    <row r="19" spans="1:8" x14ac:dyDescent="1.3">
      <c r="A19" s="2"/>
      <c r="B19" s="7"/>
      <c r="C19" s="2">
        <v>114</v>
      </c>
      <c r="D19" s="7" t="s">
        <v>17</v>
      </c>
      <c r="E19" s="7" t="s">
        <v>18</v>
      </c>
      <c r="F19" s="5">
        <v>48.1</v>
      </c>
      <c r="G19" s="6">
        <v>33.1</v>
      </c>
      <c r="H19" s="5">
        <f t="shared" si="0"/>
        <v>1592.1100000000001</v>
      </c>
    </row>
    <row r="20" spans="1:8" x14ac:dyDescent="1.3">
      <c r="A20" s="2"/>
      <c r="B20" s="7"/>
      <c r="C20" s="2">
        <v>108</v>
      </c>
      <c r="D20" s="7" t="s">
        <v>31</v>
      </c>
      <c r="E20" s="7" t="s">
        <v>15</v>
      </c>
      <c r="F20" s="5">
        <v>96.75</v>
      </c>
      <c r="G20" s="6">
        <v>23.6</v>
      </c>
      <c r="H20" s="5">
        <f t="shared" si="0"/>
        <v>2283.3000000000002</v>
      </c>
    </row>
    <row r="21" spans="1:8" x14ac:dyDescent="1.3">
      <c r="A21" s="2"/>
      <c r="B21" s="7"/>
      <c r="C21" s="2">
        <v>118</v>
      </c>
      <c r="D21" s="7" t="s">
        <v>19</v>
      </c>
      <c r="E21" s="7" t="s">
        <v>20</v>
      </c>
      <c r="F21" s="5">
        <v>18.36</v>
      </c>
      <c r="G21" s="6">
        <v>30.5</v>
      </c>
      <c r="H21" s="5">
        <f t="shared" si="0"/>
        <v>559.98</v>
      </c>
    </row>
    <row r="22" spans="1:8" x14ac:dyDescent="1.3">
      <c r="A22" s="2"/>
      <c r="B22" s="7"/>
      <c r="C22" s="2">
        <v>112</v>
      </c>
      <c r="D22" s="7" t="s">
        <v>22</v>
      </c>
      <c r="E22" s="7" t="s">
        <v>23</v>
      </c>
      <c r="F22" s="5">
        <v>45.95</v>
      </c>
      <c r="G22" s="6">
        <v>41.4</v>
      </c>
      <c r="H22" s="5">
        <f t="shared" si="0"/>
        <v>1902.3300000000002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F290E-8561-40C7-BC78-D92ADBC4616E}">
  <dimension ref="A1:I22"/>
  <sheetViews>
    <sheetView zoomScaleNormal="100" workbookViewId="0">
      <selection activeCell="J21" sqref="J21"/>
    </sheetView>
  </sheetViews>
  <sheetFormatPr defaultRowHeight="25.8" x14ac:dyDescent="1.3"/>
  <cols>
    <col min="1" max="1" width="12.20703125" style="1" bestFit="1" customWidth="1"/>
    <col min="2" max="2" width="17.9453125" style="8" bestFit="1" customWidth="1"/>
    <col min="3" max="3" width="11.3125" style="1" bestFit="1" customWidth="1"/>
    <col min="4" max="4" width="20.05078125" style="8" bestFit="1" customWidth="1"/>
    <col min="5" max="5" width="19.62890625" style="8" bestFit="1" customWidth="1"/>
    <col min="6" max="6" width="12.89453125" style="1" bestFit="1" customWidth="1"/>
    <col min="7" max="7" width="17.1015625" style="1" bestFit="1" customWidth="1"/>
    <col min="8" max="8" width="18.3125" style="1" bestFit="1" customWidth="1"/>
    <col min="9" max="9" width="11.7890625" style="1" bestFit="1" customWidth="1"/>
    <col min="10" max="16384" width="8.83984375" style="1"/>
  </cols>
  <sheetData>
    <row r="1" spans="1:9" x14ac:dyDescent="1.3">
      <c r="A1" s="10" t="s">
        <v>0</v>
      </c>
      <c r="B1" s="7" t="s">
        <v>1</v>
      </c>
      <c r="C1" s="10" t="s">
        <v>2</v>
      </c>
      <c r="D1" s="7" t="s">
        <v>33</v>
      </c>
      <c r="E1" s="7" t="s">
        <v>3</v>
      </c>
      <c r="F1" s="2" t="s">
        <v>4</v>
      </c>
      <c r="G1" s="2" t="s">
        <v>5</v>
      </c>
      <c r="H1" s="2" t="s">
        <v>41</v>
      </c>
      <c r="I1" s="2"/>
    </row>
    <row r="2" spans="1:9" x14ac:dyDescent="1.3">
      <c r="A2" s="2">
        <v>15</v>
      </c>
      <c r="B2" s="7" t="s">
        <v>6</v>
      </c>
      <c r="C2" s="2">
        <v>103</v>
      </c>
      <c r="D2" s="7" t="s">
        <v>7</v>
      </c>
      <c r="E2" s="7" t="s">
        <v>8</v>
      </c>
      <c r="F2" s="5">
        <v>85.5</v>
      </c>
      <c r="G2" s="6">
        <v>23.8</v>
      </c>
      <c r="H2" s="5">
        <f>F2*G2</f>
        <v>2034.9</v>
      </c>
      <c r="I2" s="2"/>
    </row>
    <row r="3" spans="1:9" x14ac:dyDescent="1.3">
      <c r="A3" s="2">
        <v>15</v>
      </c>
      <c r="B3" s="7" t="s">
        <v>6</v>
      </c>
      <c r="C3" s="2">
        <v>101</v>
      </c>
      <c r="D3" s="7" t="s">
        <v>9</v>
      </c>
      <c r="E3" s="7" t="s">
        <v>10</v>
      </c>
      <c r="F3" s="5">
        <v>105</v>
      </c>
      <c r="G3" s="6">
        <v>19.399999999999999</v>
      </c>
      <c r="H3" s="5">
        <f t="shared" ref="H3:H22" si="0">F3*G3</f>
        <v>2036.9999999999998</v>
      </c>
      <c r="I3" s="2"/>
    </row>
    <row r="4" spans="1:9" x14ac:dyDescent="1.3">
      <c r="A4" s="2">
        <v>15</v>
      </c>
      <c r="B4" s="7" t="s">
        <v>6</v>
      </c>
      <c r="C4" s="2">
        <v>105</v>
      </c>
      <c r="D4" s="7" t="s">
        <v>11</v>
      </c>
      <c r="E4" s="7" t="s">
        <v>10</v>
      </c>
      <c r="F4" s="5">
        <v>105</v>
      </c>
      <c r="G4" s="6">
        <v>35.700000000000003</v>
      </c>
      <c r="H4" s="5">
        <f t="shared" si="0"/>
        <v>3748.5000000000005</v>
      </c>
      <c r="I4" s="2"/>
    </row>
    <row r="5" spans="1:9" x14ac:dyDescent="1.3">
      <c r="A5" s="2">
        <v>15</v>
      </c>
      <c r="B5" s="7" t="s">
        <v>6</v>
      </c>
      <c r="C5" s="2">
        <v>106</v>
      </c>
      <c r="D5" s="7" t="s">
        <v>12</v>
      </c>
      <c r="E5" s="7" t="s">
        <v>13</v>
      </c>
      <c r="F5" s="5">
        <v>35.75</v>
      </c>
      <c r="G5" s="6">
        <v>12.6</v>
      </c>
      <c r="H5" s="5">
        <f t="shared" si="0"/>
        <v>450.45</v>
      </c>
      <c r="I5" s="2"/>
    </row>
    <row r="6" spans="1:9" x14ac:dyDescent="1.3">
      <c r="A6" s="2">
        <v>15</v>
      </c>
      <c r="B6" s="7" t="s">
        <v>6</v>
      </c>
      <c r="C6" s="2">
        <v>102</v>
      </c>
      <c r="D6" s="7" t="s">
        <v>14</v>
      </c>
      <c r="E6" s="7" t="s">
        <v>15</v>
      </c>
      <c r="F6" s="5">
        <v>96.75</v>
      </c>
      <c r="G6" s="6">
        <v>23.8</v>
      </c>
      <c r="H6" s="5">
        <f t="shared" si="0"/>
        <v>2302.65</v>
      </c>
      <c r="I6" s="2"/>
    </row>
    <row r="7" spans="1:9" x14ac:dyDescent="1.3">
      <c r="A7" s="2">
        <v>18</v>
      </c>
      <c r="B7" s="7" t="s">
        <v>16</v>
      </c>
      <c r="C7" s="2">
        <v>114</v>
      </c>
      <c r="D7" s="7" t="s">
        <v>17</v>
      </c>
      <c r="E7" s="7" t="s">
        <v>18</v>
      </c>
      <c r="F7" s="5">
        <v>48.1</v>
      </c>
      <c r="G7" s="6">
        <v>25.6</v>
      </c>
      <c r="H7" s="5">
        <f t="shared" si="0"/>
        <v>1231.3600000000001</v>
      </c>
    </row>
    <row r="8" spans="1:9" x14ac:dyDescent="1.3">
      <c r="A8" s="2">
        <v>18</v>
      </c>
      <c r="B8" s="7" t="s">
        <v>16</v>
      </c>
      <c r="C8" s="2">
        <v>118</v>
      </c>
      <c r="D8" s="7" t="s">
        <v>19</v>
      </c>
      <c r="E8" s="7" t="s">
        <v>20</v>
      </c>
      <c r="F8" s="5">
        <v>18.36</v>
      </c>
      <c r="G8" s="6">
        <v>45.3</v>
      </c>
      <c r="H8" s="5">
        <f t="shared" si="0"/>
        <v>831.70799999999997</v>
      </c>
    </row>
    <row r="9" spans="1:9" x14ac:dyDescent="1.3">
      <c r="A9" s="2">
        <v>18</v>
      </c>
      <c r="B9" s="7" t="s">
        <v>16</v>
      </c>
      <c r="C9" s="2">
        <v>104</v>
      </c>
      <c r="D9" s="7" t="s">
        <v>21</v>
      </c>
      <c r="E9" s="7" t="s">
        <v>15</v>
      </c>
      <c r="F9" s="5">
        <v>96.75</v>
      </c>
      <c r="G9" s="6">
        <v>32.4</v>
      </c>
      <c r="H9" s="5">
        <f t="shared" si="0"/>
        <v>3134.7</v>
      </c>
    </row>
    <row r="10" spans="1:9" x14ac:dyDescent="1.3">
      <c r="A10" s="2">
        <v>18</v>
      </c>
      <c r="B10" s="7" t="s">
        <v>16</v>
      </c>
      <c r="C10" s="2">
        <v>112</v>
      </c>
      <c r="D10" s="7" t="s">
        <v>22</v>
      </c>
      <c r="E10" s="7" t="s">
        <v>23</v>
      </c>
      <c r="F10" s="5">
        <v>45.95</v>
      </c>
      <c r="G10" s="6">
        <v>45</v>
      </c>
      <c r="H10" s="5">
        <f t="shared" si="0"/>
        <v>2067.75</v>
      </c>
    </row>
    <row r="11" spans="1:9" x14ac:dyDescent="1.3">
      <c r="A11" s="2">
        <v>22</v>
      </c>
      <c r="B11" s="7" t="s">
        <v>24</v>
      </c>
      <c r="C11" s="2">
        <v>105</v>
      </c>
      <c r="D11" s="7" t="s">
        <v>11</v>
      </c>
      <c r="E11" s="7" t="s">
        <v>10</v>
      </c>
      <c r="F11" s="5">
        <v>105</v>
      </c>
      <c r="G11" s="6">
        <v>65.7</v>
      </c>
      <c r="H11" s="5">
        <f t="shared" si="0"/>
        <v>6898.5</v>
      </c>
    </row>
    <row r="12" spans="1:9" x14ac:dyDescent="1.3">
      <c r="A12" s="2">
        <v>22</v>
      </c>
      <c r="B12" s="7" t="s">
        <v>24</v>
      </c>
      <c r="C12" s="2">
        <v>104</v>
      </c>
      <c r="D12" s="7" t="s">
        <v>21</v>
      </c>
      <c r="E12" s="7" t="s">
        <v>15</v>
      </c>
      <c r="F12" s="5">
        <v>96.75</v>
      </c>
      <c r="G12" s="6">
        <v>48.4</v>
      </c>
      <c r="H12" s="5">
        <f t="shared" si="0"/>
        <v>4682.7</v>
      </c>
    </row>
    <row r="13" spans="1:9" x14ac:dyDescent="1.3">
      <c r="A13" s="2">
        <v>22</v>
      </c>
      <c r="B13" s="7" t="s">
        <v>24</v>
      </c>
      <c r="C13" s="2">
        <v>113</v>
      </c>
      <c r="D13" s="7" t="s">
        <v>25</v>
      </c>
      <c r="E13" s="7" t="s">
        <v>18</v>
      </c>
      <c r="F13" s="5">
        <v>48.1</v>
      </c>
      <c r="G13" s="6">
        <v>23.6</v>
      </c>
      <c r="H13" s="5">
        <f t="shared" si="0"/>
        <v>1135.1600000000001</v>
      </c>
    </row>
    <row r="14" spans="1:9" x14ac:dyDescent="1.3">
      <c r="A14" s="2">
        <v>22</v>
      </c>
      <c r="B14" s="7" t="s">
        <v>24</v>
      </c>
      <c r="C14" s="2">
        <v>111</v>
      </c>
      <c r="D14" s="7" t="s">
        <v>26</v>
      </c>
      <c r="E14" s="7" t="s">
        <v>27</v>
      </c>
      <c r="F14" s="5">
        <v>26.87</v>
      </c>
      <c r="G14" s="6">
        <v>22</v>
      </c>
      <c r="H14" s="5">
        <f t="shared" si="0"/>
        <v>591.14</v>
      </c>
    </row>
    <row r="15" spans="1:9" x14ac:dyDescent="1.3">
      <c r="A15" s="2">
        <v>22</v>
      </c>
      <c r="B15" s="7" t="s">
        <v>24</v>
      </c>
      <c r="C15" s="2">
        <v>106</v>
      </c>
      <c r="D15" s="7" t="s">
        <v>12</v>
      </c>
      <c r="E15" s="7" t="s">
        <v>13</v>
      </c>
      <c r="F15" s="5">
        <v>35.75</v>
      </c>
      <c r="G15" s="6">
        <v>12.8</v>
      </c>
      <c r="H15" s="5">
        <f t="shared" si="0"/>
        <v>457.6</v>
      </c>
    </row>
    <row r="16" spans="1:9" x14ac:dyDescent="1.3">
      <c r="A16" s="2">
        <v>25</v>
      </c>
      <c r="B16" s="7" t="s">
        <v>28</v>
      </c>
      <c r="C16" s="2">
        <v>107</v>
      </c>
      <c r="D16" s="7" t="s">
        <v>29</v>
      </c>
      <c r="E16" s="7" t="s">
        <v>13</v>
      </c>
      <c r="F16" s="5">
        <v>35.75</v>
      </c>
      <c r="G16" s="6">
        <v>25.6</v>
      </c>
      <c r="H16" s="5">
        <f t="shared" si="0"/>
        <v>915.2</v>
      </c>
    </row>
    <row r="17" spans="1:8" x14ac:dyDescent="1.3">
      <c r="A17" s="2">
        <v>25</v>
      </c>
      <c r="B17" s="7" t="s">
        <v>28</v>
      </c>
      <c r="C17" s="2">
        <v>115</v>
      </c>
      <c r="D17" s="7" t="s">
        <v>30</v>
      </c>
      <c r="E17" s="7" t="s">
        <v>15</v>
      </c>
      <c r="F17" s="5">
        <v>96.75</v>
      </c>
      <c r="G17" s="6">
        <v>45.8</v>
      </c>
      <c r="H17" s="5">
        <f t="shared" si="0"/>
        <v>4431.1499999999996</v>
      </c>
    </row>
    <row r="18" spans="1:8" x14ac:dyDescent="1.3">
      <c r="A18" s="2">
        <v>25</v>
      </c>
      <c r="B18" s="7" t="s">
        <v>28</v>
      </c>
      <c r="C18" s="2">
        <v>101</v>
      </c>
      <c r="D18" s="7" t="s">
        <v>9</v>
      </c>
      <c r="E18" s="7" t="s">
        <v>10</v>
      </c>
      <c r="F18" s="5">
        <v>105</v>
      </c>
      <c r="G18" s="6">
        <v>56.3</v>
      </c>
      <c r="H18" s="5">
        <f t="shared" si="0"/>
        <v>5911.5</v>
      </c>
    </row>
    <row r="19" spans="1:8" x14ac:dyDescent="1.3">
      <c r="A19" s="2">
        <v>25</v>
      </c>
      <c r="B19" s="7" t="s">
        <v>28</v>
      </c>
      <c r="C19" s="2">
        <v>114</v>
      </c>
      <c r="D19" s="7" t="s">
        <v>17</v>
      </c>
      <c r="E19" s="7" t="s">
        <v>18</v>
      </c>
      <c r="F19" s="5">
        <v>48.1</v>
      </c>
      <c r="G19" s="6">
        <v>33.1</v>
      </c>
      <c r="H19" s="5">
        <f t="shared" si="0"/>
        <v>1592.1100000000001</v>
      </c>
    </row>
    <row r="20" spans="1:8" x14ac:dyDescent="1.3">
      <c r="A20" s="2">
        <v>25</v>
      </c>
      <c r="B20" s="7" t="s">
        <v>28</v>
      </c>
      <c r="C20" s="2">
        <v>108</v>
      </c>
      <c r="D20" s="7" t="s">
        <v>31</v>
      </c>
      <c r="E20" s="7" t="s">
        <v>15</v>
      </c>
      <c r="F20" s="5">
        <v>96.75</v>
      </c>
      <c r="G20" s="6">
        <v>23.6</v>
      </c>
      <c r="H20" s="5">
        <f t="shared" si="0"/>
        <v>2283.3000000000002</v>
      </c>
    </row>
    <row r="21" spans="1:8" x14ac:dyDescent="1.3">
      <c r="A21" s="2">
        <v>25</v>
      </c>
      <c r="B21" s="7" t="s">
        <v>28</v>
      </c>
      <c r="C21" s="2">
        <v>118</v>
      </c>
      <c r="D21" s="7" t="s">
        <v>19</v>
      </c>
      <c r="E21" s="7" t="s">
        <v>20</v>
      </c>
      <c r="F21" s="5">
        <v>18.36</v>
      </c>
      <c r="G21" s="6">
        <v>30.5</v>
      </c>
      <c r="H21" s="5">
        <f t="shared" si="0"/>
        <v>559.98</v>
      </c>
    </row>
    <row r="22" spans="1:8" x14ac:dyDescent="1.3">
      <c r="A22" s="2">
        <v>25</v>
      </c>
      <c r="B22" s="7" t="s">
        <v>28</v>
      </c>
      <c r="C22" s="2">
        <v>112</v>
      </c>
      <c r="D22" s="7" t="s">
        <v>22</v>
      </c>
      <c r="E22" s="7" t="s">
        <v>23</v>
      </c>
      <c r="F22" s="5">
        <v>45.95</v>
      </c>
      <c r="G22" s="6">
        <v>41.4</v>
      </c>
      <c r="H22" s="5">
        <f t="shared" si="0"/>
        <v>1902.3300000000002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4D5F9-FAC3-47C1-A644-E483B5AC81A9}">
  <dimension ref="A1:P24"/>
  <sheetViews>
    <sheetView zoomScaleNormal="100" workbookViewId="0">
      <selection activeCell="R20" sqref="R20"/>
    </sheetView>
  </sheetViews>
  <sheetFormatPr defaultRowHeight="25.8" x14ac:dyDescent="1.3"/>
  <cols>
    <col min="1" max="1" width="17.1015625" style="1" bestFit="1" customWidth="1"/>
    <col min="2" max="2" width="17.9453125" style="8" bestFit="1" customWidth="1"/>
    <col min="3" max="3" width="11.7890625" style="1" bestFit="1" customWidth="1"/>
    <col min="4" max="4" width="3.47265625" style="4" customWidth="1"/>
    <col min="5" max="5" width="8.83984375" style="1"/>
    <col min="6" max="6" width="16.15625" style="1" bestFit="1" customWidth="1"/>
    <col min="7" max="7" width="20.05078125" style="1" bestFit="1" customWidth="1"/>
    <col min="8" max="8" width="19.62890625" style="1" bestFit="1" customWidth="1"/>
    <col min="9" max="9" width="12.89453125" style="1" bestFit="1" customWidth="1"/>
    <col min="10" max="10" width="8.83984375" style="1"/>
    <col min="11" max="11" width="3.41796875" style="4" customWidth="1"/>
    <col min="12" max="12" width="8.83984375" style="1"/>
    <col min="13" max="13" width="17.1015625" style="1" bestFit="1" customWidth="1"/>
    <col min="14" max="14" width="16.15625" style="1" bestFit="1" customWidth="1"/>
    <col min="15" max="15" width="17.1015625" style="1" bestFit="1" customWidth="1"/>
    <col min="16" max="16" width="18.3125" style="1" bestFit="1" customWidth="1"/>
    <col min="17" max="16384" width="8.83984375" style="1"/>
  </cols>
  <sheetData>
    <row r="1" spans="1:16" x14ac:dyDescent="1.3">
      <c r="A1" s="9" t="s">
        <v>34</v>
      </c>
      <c r="B1" s="9"/>
      <c r="F1" s="9" t="s">
        <v>35</v>
      </c>
      <c r="G1" s="9"/>
      <c r="H1" s="9"/>
      <c r="I1" s="9"/>
      <c r="M1" s="9" t="s">
        <v>38</v>
      </c>
      <c r="N1" s="9"/>
      <c r="O1" s="9"/>
      <c r="P1" s="9"/>
    </row>
    <row r="2" spans="1:16" x14ac:dyDescent="1.3">
      <c r="A2" s="9"/>
      <c r="B2" s="9"/>
      <c r="F2" s="9"/>
      <c r="G2" s="9"/>
      <c r="H2" s="9"/>
      <c r="I2" s="9"/>
      <c r="M2" s="9"/>
      <c r="N2" s="9"/>
      <c r="O2" s="9"/>
      <c r="P2" s="9"/>
    </row>
    <row r="3" spans="1:16" x14ac:dyDescent="1.3">
      <c r="A3" s="3" t="s">
        <v>36</v>
      </c>
      <c r="B3" s="7" t="s">
        <v>1</v>
      </c>
      <c r="C3" s="2"/>
      <c r="F3" s="3" t="s">
        <v>37</v>
      </c>
      <c r="G3" s="7" t="s">
        <v>33</v>
      </c>
      <c r="H3" s="7" t="s">
        <v>3</v>
      </c>
      <c r="I3" s="2" t="s">
        <v>4</v>
      </c>
      <c r="M3" s="3" t="s">
        <v>36</v>
      </c>
      <c r="N3" s="3" t="s">
        <v>37</v>
      </c>
      <c r="O3" s="2" t="s">
        <v>5</v>
      </c>
      <c r="P3" s="2" t="s">
        <v>41</v>
      </c>
    </row>
    <row r="4" spans="1:16" x14ac:dyDescent="1.3">
      <c r="A4" s="2">
        <v>15</v>
      </c>
      <c r="B4" s="7" t="s">
        <v>6</v>
      </c>
      <c r="C4" s="2"/>
      <c r="F4" s="2">
        <v>103</v>
      </c>
      <c r="G4" s="7" t="s">
        <v>7</v>
      </c>
      <c r="H4" s="7" t="s">
        <v>8</v>
      </c>
      <c r="I4" s="5">
        <v>85.5</v>
      </c>
      <c r="M4" s="2">
        <v>15</v>
      </c>
      <c r="N4" s="2">
        <v>103</v>
      </c>
      <c r="O4" s="6">
        <v>23.8</v>
      </c>
      <c r="P4" s="5">
        <v>2034.9</v>
      </c>
    </row>
    <row r="5" spans="1:16" x14ac:dyDescent="1.3">
      <c r="A5" s="2">
        <v>18</v>
      </c>
      <c r="B5" s="7" t="s">
        <v>16</v>
      </c>
      <c r="C5" s="2"/>
      <c r="F5" s="2">
        <v>101</v>
      </c>
      <c r="G5" s="7" t="s">
        <v>9</v>
      </c>
      <c r="H5" s="7" t="s">
        <v>10</v>
      </c>
      <c r="I5" s="5">
        <v>105</v>
      </c>
      <c r="M5" s="2">
        <v>15</v>
      </c>
      <c r="N5" s="2">
        <v>101</v>
      </c>
      <c r="O5" s="6">
        <v>19.399999999999999</v>
      </c>
      <c r="P5" s="5">
        <v>2036.9999999999998</v>
      </c>
    </row>
    <row r="6" spans="1:16" x14ac:dyDescent="1.3">
      <c r="A6" s="2">
        <v>22</v>
      </c>
      <c r="B6" s="7" t="s">
        <v>24</v>
      </c>
      <c r="C6" s="2"/>
      <c r="F6" s="2">
        <v>105</v>
      </c>
      <c r="G6" s="7" t="s">
        <v>11</v>
      </c>
      <c r="H6" s="7" t="s">
        <v>10</v>
      </c>
      <c r="I6" s="5">
        <v>105</v>
      </c>
      <c r="M6" s="2">
        <v>15</v>
      </c>
      <c r="N6" s="2">
        <v>105</v>
      </c>
      <c r="O6" s="6">
        <v>35.700000000000003</v>
      </c>
      <c r="P6" s="5">
        <v>3748.5000000000005</v>
      </c>
    </row>
    <row r="7" spans="1:16" x14ac:dyDescent="1.3">
      <c r="A7" s="2">
        <v>25</v>
      </c>
      <c r="B7" s="7" t="s">
        <v>28</v>
      </c>
      <c r="C7" s="2"/>
      <c r="F7" s="2">
        <v>106</v>
      </c>
      <c r="G7" s="7" t="s">
        <v>12</v>
      </c>
      <c r="H7" s="7" t="s">
        <v>13</v>
      </c>
      <c r="I7" s="5">
        <v>35.75</v>
      </c>
      <c r="M7" s="2">
        <v>15</v>
      </c>
      <c r="N7" s="2">
        <v>106</v>
      </c>
      <c r="O7" s="6">
        <v>12.6</v>
      </c>
      <c r="P7" s="5">
        <v>450.45</v>
      </c>
    </row>
    <row r="8" spans="1:16" x14ac:dyDescent="1.3">
      <c r="A8"/>
      <c r="B8"/>
      <c r="C8" s="2"/>
      <c r="F8" s="2">
        <v>102</v>
      </c>
      <c r="G8" s="7" t="s">
        <v>14</v>
      </c>
      <c r="H8" s="7" t="s">
        <v>15</v>
      </c>
      <c r="I8" s="5">
        <v>96.75</v>
      </c>
      <c r="M8" s="2">
        <v>15</v>
      </c>
      <c r="N8" s="2">
        <v>102</v>
      </c>
      <c r="O8" s="6">
        <v>23.8</v>
      </c>
      <c r="P8" s="5">
        <v>2302.65</v>
      </c>
    </row>
    <row r="9" spans="1:16" x14ac:dyDescent="1.3">
      <c r="A9"/>
      <c r="B9"/>
      <c r="F9" s="2">
        <v>114</v>
      </c>
      <c r="G9" s="7" t="s">
        <v>17</v>
      </c>
      <c r="H9" s="7" t="s">
        <v>18</v>
      </c>
      <c r="I9" s="5">
        <v>48.1</v>
      </c>
      <c r="M9" s="2">
        <v>18</v>
      </c>
      <c r="N9" s="2">
        <v>114</v>
      </c>
      <c r="O9" s="6">
        <v>25.6</v>
      </c>
      <c r="P9" s="5">
        <v>1231.3600000000001</v>
      </c>
    </row>
    <row r="10" spans="1:16" x14ac:dyDescent="1.3">
      <c r="A10"/>
      <c r="B10"/>
      <c r="F10" s="2">
        <v>118</v>
      </c>
      <c r="G10" s="7" t="s">
        <v>19</v>
      </c>
      <c r="H10" s="7" t="s">
        <v>20</v>
      </c>
      <c r="I10" s="5">
        <v>18.36</v>
      </c>
      <c r="M10" s="2">
        <v>18</v>
      </c>
      <c r="N10" s="2">
        <v>118</v>
      </c>
      <c r="O10" s="6">
        <v>45.3</v>
      </c>
      <c r="P10" s="5">
        <v>831.70799999999997</v>
      </c>
    </row>
    <row r="11" spans="1:16" x14ac:dyDescent="1.3">
      <c r="A11"/>
      <c r="B11"/>
      <c r="F11" s="2">
        <v>104</v>
      </c>
      <c r="G11" s="7" t="s">
        <v>21</v>
      </c>
      <c r="H11" s="7" t="s">
        <v>15</v>
      </c>
      <c r="I11" s="5">
        <v>96.75</v>
      </c>
      <c r="M11" s="2">
        <v>18</v>
      </c>
      <c r="N11" s="2">
        <v>104</v>
      </c>
      <c r="O11" s="6">
        <v>32.4</v>
      </c>
      <c r="P11" s="5">
        <v>3134.7</v>
      </c>
    </row>
    <row r="12" spans="1:16" x14ac:dyDescent="1.3">
      <c r="A12"/>
      <c r="B12"/>
      <c r="F12" s="2">
        <v>112</v>
      </c>
      <c r="G12" s="7" t="s">
        <v>22</v>
      </c>
      <c r="H12" s="7" t="s">
        <v>23</v>
      </c>
      <c r="I12" s="5">
        <v>45.95</v>
      </c>
      <c r="M12" s="2">
        <v>18</v>
      </c>
      <c r="N12" s="2">
        <v>112</v>
      </c>
      <c r="O12" s="6">
        <v>45</v>
      </c>
      <c r="P12" s="5">
        <v>2067.75</v>
      </c>
    </row>
    <row r="13" spans="1:16" x14ac:dyDescent="1.3">
      <c r="A13"/>
      <c r="B13"/>
      <c r="F13" s="2">
        <v>113</v>
      </c>
      <c r="G13" s="7" t="s">
        <v>25</v>
      </c>
      <c r="H13" s="7" t="s">
        <v>18</v>
      </c>
      <c r="I13" s="5">
        <v>48.1</v>
      </c>
      <c r="M13" s="2">
        <v>22</v>
      </c>
      <c r="N13" s="2">
        <v>105</v>
      </c>
      <c r="O13" s="6">
        <v>65.7</v>
      </c>
      <c r="P13" s="5">
        <v>6898.5</v>
      </c>
    </row>
    <row r="14" spans="1:16" x14ac:dyDescent="1.3">
      <c r="A14"/>
      <c r="B14"/>
      <c r="F14" s="2">
        <v>111</v>
      </c>
      <c r="G14" s="7" t="s">
        <v>26</v>
      </c>
      <c r="H14" s="7" t="s">
        <v>27</v>
      </c>
      <c r="I14" s="5">
        <v>26.87</v>
      </c>
      <c r="M14" s="2">
        <v>22</v>
      </c>
      <c r="N14" s="2">
        <v>104</v>
      </c>
      <c r="O14" s="6">
        <v>48.4</v>
      </c>
      <c r="P14" s="5">
        <v>4682.7</v>
      </c>
    </row>
    <row r="15" spans="1:16" x14ac:dyDescent="1.3">
      <c r="A15"/>
      <c r="B15"/>
      <c r="F15" s="2">
        <v>107</v>
      </c>
      <c r="G15" s="7" t="s">
        <v>29</v>
      </c>
      <c r="H15" s="7" t="s">
        <v>13</v>
      </c>
      <c r="I15" s="5">
        <v>35.75</v>
      </c>
      <c r="M15" s="2">
        <v>22</v>
      </c>
      <c r="N15" s="2">
        <v>113</v>
      </c>
      <c r="O15" s="6">
        <v>23.6</v>
      </c>
      <c r="P15" s="5">
        <v>1135.1600000000001</v>
      </c>
    </row>
    <row r="16" spans="1:16" x14ac:dyDescent="1.3">
      <c r="A16"/>
      <c r="B16"/>
      <c r="F16" s="2">
        <v>115</v>
      </c>
      <c r="G16" s="7" t="s">
        <v>30</v>
      </c>
      <c r="H16" s="7" t="s">
        <v>15</v>
      </c>
      <c r="I16" s="5">
        <v>96.75</v>
      </c>
      <c r="M16" s="2">
        <v>22</v>
      </c>
      <c r="N16" s="2">
        <v>111</v>
      </c>
      <c r="O16" s="6">
        <v>22</v>
      </c>
      <c r="P16" s="5">
        <v>591.14</v>
      </c>
    </row>
    <row r="17" spans="1:16" x14ac:dyDescent="1.3">
      <c r="A17"/>
      <c r="B17"/>
      <c r="F17" s="2">
        <v>108</v>
      </c>
      <c r="G17" s="7" t="s">
        <v>31</v>
      </c>
      <c r="H17" s="7" t="s">
        <v>15</v>
      </c>
      <c r="I17" s="5">
        <v>96.75</v>
      </c>
      <c r="M17" s="2">
        <v>22</v>
      </c>
      <c r="N17" s="2">
        <v>106</v>
      </c>
      <c r="O17" s="6">
        <v>12.8</v>
      </c>
      <c r="P17" s="5">
        <v>457.6</v>
      </c>
    </row>
    <row r="18" spans="1:16" x14ac:dyDescent="1.3">
      <c r="A18"/>
      <c r="B18"/>
      <c r="F18"/>
      <c r="G18"/>
      <c r="H18"/>
      <c r="I18"/>
      <c r="M18" s="2">
        <v>25</v>
      </c>
      <c r="N18" s="2">
        <v>107</v>
      </c>
      <c r="O18" s="6">
        <v>25.6</v>
      </c>
      <c r="P18" s="5">
        <v>915.2</v>
      </c>
    </row>
    <row r="19" spans="1:16" x14ac:dyDescent="1.3">
      <c r="A19"/>
      <c r="B19"/>
      <c r="F19"/>
      <c r="G19"/>
      <c r="H19"/>
      <c r="I19"/>
      <c r="M19" s="2">
        <v>25</v>
      </c>
      <c r="N19" s="2">
        <v>115</v>
      </c>
      <c r="O19" s="6">
        <v>45.8</v>
      </c>
      <c r="P19" s="5">
        <v>4431.1499999999996</v>
      </c>
    </row>
    <row r="20" spans="1:16" x14ac:dyDescent="1.3">
      <c r="A20"/>
      <c r="B20"/>
      <c r="F20"/>
      <c r="G20"/>
      <c r="H20"/>
      <c r="I20"/>
      <c r="M20" s="2">
        <v>25</v>
      </c>
      <c r="N20" s="2">
        <v>101</v>
      </c>
      <c r="O20" s="6">
        <v>56.3</v>
      </c>
      <c r="P20" s="5">
        <v>5911.5</v>
      </c>
    </row>
    <row r="21" spans="1:16" x14ac:dyDescent="1.3">
      <c r="A21"/>
      <c r="B21"/>
      <c r="F21"/>
      <c r="G21"/>
      <c r="H21"/>
      <c r="I21"/>
      <c r="M21" s="2">
        <v>25</v>
      </c>
      <c r="N21" s="2">
        <v>114</v>
      </c>
      <c r="O21" s="6">
        <v>33.1</v>
      </c>
      <c r="P21" s="5">
        <v>1592.1100000000001</v>
      </c>
    </row>
    <row r="22" spans="1:16" x14ac:dyDescent="1.3">
      <c r="A22"/>
      <c r="B22"/>
      <c r="F22"/>
      <c r="G22"/>
      <c r="H22"/>
      <c r="I22"/>
      <c r="M22" s="2">
        <v>25</v>
      </c>
      <c r="N22" s="2">
        <v>108</v>
      </c>
      <c r="O22" s="6">
        <v>23.6</v>
      </c>
      <c r="P22" s="5">
        <v>2283.3000000000002</v>
      </c>
    </row>
    <row r="23" spans="1:16" x14ac:dyDescent="1.3">
      <c r="A23"/>
      <c r="B23"/>
      <c r="F23"/>
      <c r="G23"/>
      <c r="H23"/>
      <c r="I23"/>
      <c r="M23" s="2">
        <v>25</v>
      </c>
      <c r="N23" s="2">
        <v>118</v>
      </c>
      <c r="O23" s="6">
        <v>30.5</v>
      </c>
      <c r="P23" s="5">
        <v>559.98</v>
      </c>
    </row>
    <row r="24" spans="1:16" x14ac:dyDescent="1.3">
      <c r="A24"/>
      <c r="B24"/>
      <c r="F24"/>
      <c r="G24"/>
      <c r="H24"/>
      <c r="I24"/>
      <c r="M24" s="2">
        <v>25</v>
      </c>
      <c r="N24" s="2">
        <v>112</v>
      </c>
      <c r="O24" s="6">
        <v>41.4</v>
      </c>
      <c r="P24" s="5">
        <v>1902.3300000000002</v>
      </c>
    </row>
  </sheetData>
  <mergeCells count="3">
    <mergeCell ref="A1:B2"/>
    <mergeCell ref="F1:I2"/>
    <mergeCell ref="M1:P2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AB1AE-8BD2-46C8-B836-A9FB27CD700B}">
  <dimension ref="A1:T24"/>
  <sheetViews>
    <sheetView zoomScaleNormal="100" workbookViewId="0">
      <selection activeCell="B17" sqref="B17"/>
    </sheetView>
  </sheetViews>
  <sheetFormatPr defaultRowHeight="25.8" x14ac:dyDescent="1.3"/>
  <cols>
    <col min="1" max="1" width="17.1015625" style="1" bestFit="1" customWidth="1"/>
    <col min="2" max="2" width="17.9453125" style="8" bestFit="1" customWidth="1"/>
    <col min="3" max="3" width="11.7890625" style="1" bestFit="1" customWidth="1"/>
    <col min="4" max="4" width="3.47265625" style="4" customWidth="1"/>
    <col min="5" max="5" width="8.83984375" style="1"/>
    <col min="6" max="6" width="16.15625" style="1" bestFit="1" customWidth="1"/>
    <col min="7" max="7" width="20.05078125" style="1" bestFit="1" customWidth="1"/>
    <col min="8" max="8" width="19.62890625" style="1" bestFit="1" customWidth="1"/>
    <col min="9" max="9" width="8.83984375" style="1"/>
    <col min="10" max="10" width="3.41796875" style="4" customWidth="1"/>
    <col min="11" max="11" width="3.41796875" style="11" customWidth="1"/>
    <col min="12" max="12" width="19.62890625" style="11" bestFit="1" customWidth="1"/>
    <col min="13" max="13" width="12.89453125" style="11" bestFit="1" customWidth="1"/>
    <col min="14" max="14" width="3.41796875" style="11" customWidth="1"/>
    <col min="15" max="15" width="3.41796875" style="4" customWidth="1"/>
    <col min="16" max="16" width="8.83984375" style="1"/>
    <col min="17" max="17" width="17.1015625" style="1" bestFit="1" customWidth="1"/>
    <col min="18" max="18" width="16.15625" style="1" bestFit="1" customWidth="1"/>
    <col min="19" max="19" width="17.1015625" style="1" bestFit="1" customWidth="1"/>
    <col min="20" max="20" width="18.3125" style="1" bestFit="1" customWidth="1"/>
    <col min="21" max="16384" width="8.83984375" style="1"/>
  </cols>
  <sheetData>
    <row r="1" spans="1:20" x14ac:dyDescent="1.3">
      <c r="A1" s="9" t="s">
        <v>34</v>
      </c>
      <c r="B1" s="9"/>
      <c r="F1" s="9" t="s">
        <v>35</v>
      </c>
      <c r="G1" s="9"/>
      <c r="H1" s="9"/>
      <c r="L1" s="9" t="s">
        <v>39</v>
      </c>
      <c r="M1" s="9"/>
      <c r="Q1" s="9" t="s">
        <v>38</v>
      </c>
      <c r="R1" s="9"/>
      <c r="S1" s="9"/>
      <c r="T1" s="9"/>
    </row>
    <row r="2" spans="1:20" x14ac:dyDescent="1.3">
      <c r="A2" s="9"/>
      <c r="B2" s="9"/>
      <c r="F2" s="9"/>
      <c r="G2" s="9"/>
      <c r="H2" s="9"/>
      <c r="L2" s="9"/>
      <c r="M2" s="9"/>
      <c r="Q2" s="9"/>
      <c r="R2" s="9"/>
      <c r="S2" s="9"/>
      <c r="T2" s="9"/>
    </row>
    <row r="3" spans="1:20" x14ac:dyDescent="1.3">
      <c r="A3" s="3" t="s">
        <v>36</v>
      </c>
      <c r="B3" s="7" t="s">
        <v>1</v>
      </c>
      <c r="C3" s="2"/>
      <c r="F3" s="3" t="s">
        <v>37</v>
      </c>
      <c r="G3" s="7" t="s">
        <v>33</v>
      </c>
      <c r="H3" s="7" t="s">
        <v>3</v>
      </c>
      <c r="L3" s="12" t="s">
        <v>40</v>
      </c>
      <c r="M3" s="2" t="s">
        <v>4</v>
      </c>
      <c r="Q3" s="3" t="s">
        <v>36</v>
      </c>
      <c r="R3" s="3" t="s">
        <v>37</v>
      </c>
      <c r="S3" s="2" t="s">
        <v>5</v>
      </c>
      <c r="T3" s="2" t="s">
        <v>41</v>
      </c>
    </row>
    <row r="4" spans="1:20" x14ac:dyDescent="1.3">
      <c r="A4" s="2">
        <v>15</v>
      </c>
      <c r="B4" s="7" t="s">
        <v>6</v>
      </c>
      <c r="C4" s="2"/>
      <c r="F4" s="2">
        <v>103</v>
      </c>
      <c r="G4" s="7" t="s">
        <v>7</v>
      </c>
      <c r="H4" s="7" t="s">
        <v>8</v>
      </c>
      <c r="L4" s="7" t="s">
        <v>8</v>
      </c>
      <c r="M4" s="5">
        <v>85.5</v>
      </c>
      <c r="Q4" s="2">
        <v>15</v>
      </c>
      <c r="R4" s="2">
        <v>103</v>
      </c>
      <c r="S4" s="6">
        <v>23.8</v>
      </c>
      <c r="T4" s="5">
        <v>2034.9</v>
      </c>
    </row>
    <row r="5" spans="1:20" x14ac:dyDescent="1.3">
      <c r="A5" s="2">
        <v>18</v>
      </c>
      <c r="B5" s="7" t="s">
        <v>16</v>
      </c>
      <c r="C5" s="2"/>
      <c r="F5" s="2">
        <v>101</v>
      </c>
      <c r="G5" s="7" t="s">
        <v>9</v>
      </c>
      <c r="H5" s="7" t="s">
        <v>10</v>
      </c>
      <c r="L5" s="7" t="s">
        <v>10</v>
      </c>
      <c r="M5" s="5">
        <v>105</v>
      </c>
      <c r="Q5" s="2">
        <v>15</v>
      </c>
      <c r="R5" s="2">
        <v>101</v>
      </c>
      <c r="S5" s="6">
        <v>19.399999999999999</v>
      </c>
      <c r="T5" s="5">
        <v>2036.9999999999998</v>
      </c>
    </row>
    <row r="6" spans="1:20" x14ac:dyDescent="1.3">
      <c r="A6" s="2">
        <v>22</v>
      </c>
      <c r="B6" s="7" t="s">
        <v>24</v>
      </c>
      <c r="C6" s="2"/>
      <c r="F6" s="2">
        <v>105</v>
      </c>
      <c r="G6" s="7" t="s">
        <v>11</v>
      </c>
      <c r="H6" s="7" t="s">
        <v>10</v>
      </c>
      <c r="L6" s="7" t="s">
        <v>13</v>
      </c>
      <c r="M6" s="5">
        <v>35.75</v>
      </c>
      <c r="Q6" s="2">
        <v>15</v>
      </c>
      <c r="R6" s="2">
        <v>105</v>
      </c>
      <c r="S6" s="6">
        <v>35.700000000000003</v>
      </c>
      <c r="T6" s="5">
        <v>3748.5000000000005</v>
      </c>
    </row>
    <row r="7" spans="1:20" x14ac:dyDescent="1.3">
      <c r="A7" s="2">
        <v>25</v>
      </c>
      <c r="B7" s="7" t="s">
        <v>28</v>
      </c>
      <c r="C7" s="2"/>
      <c r="F7" s="2">
        <v>106</v>
      </c>
      <c r="G7" s="7" t="s">
        <v>12</v>
      </c>
      <c r="H7" s="7" t="s">
        <v>13</v>
      </c>
      <c r="L7" s="7" t="s">
        <v>15</v>
      </c>
      <c r="M7" s="5">
        <v>96.75</v>
      </c>
      <c r="Q7" s="2">
        <v>15</v>
      </c>
      <c r="R7" s="2">
        <v>106</v>
      </c>
      <c r="S7" s="6">
        <v>12.6</v>
      </c>
      <c r="T7" s="5">
        <v>450.45</v>
      </c>
    </row>
    <row r="8" spans="1:20" x14ac:dyDescent="1.3">
      <c r="A8"/>
      <c r="B8"/>
      <c r="C8" s="2"/>
      <c r="F8" s="2">
        <v>102</v>
      </c>
      <c r="G8" s="7" t="s">
        <v>14</v>
      </c>
      <c r="H8" s="7" t="s">
        <v>15</v>
      </c>
      <c r="L8" s="7" t="s">
        <v>18</v>
      </c>
      <c r="M8" s="5">
        <v>48.1</v>
      </c>
      <c r="Q8" s="2">
        <v>15</v>
      </c>
      <c r="R8" s="2">
        <v>102</v>
      </c>
      <c r="S8" s="6">
        <v>23.8</v>
      </c>
      <c r="T8" s="5">
        <v>2302.65</v>
      </c>
    </row>
    <row r="9" spans="1:20" x14ac:dyDescent="1.3">
      <c r="A9"/>
      <c r="B9"/>
      <c r="F9" s="2">
        <v>114</v>
      </c>
      <c r="G9" s="7" t="s">
        <v>17</v>
      </c>
      <c r="H9" s="7" t="s">
        <v>18</v>
      </c>
      <c r="L9" s="7" t="s">
        <v>20</v>
      </c>
      <c r="M9" s="5">
        <v>18.36</v>
      </c>
      <c r="Q9" s="2">
        <v>18</v>
      </c>
      <c r="R9" s="2">
        <v>114</v>
      </c>
      <c r="S9" s="6">
        <v>25.6</v>
      </c>
      <c r="T9" s="5">
        <v>1231.3600000000001</v>
      </c>
    </row>
    <row r="10" spans="1:20" x14ac:dyDescent="1.3">
      <c r="A10"/>
      <c r="B10"/>
      <c r="F10" s="2">
        <v>118</v>
      </c>
      <c r="G10" s="7" t="s">
        <v>19</v>
      </c>
      <c r="H10" s="7" t="s">
        <v>20</v>
      </c>
      <c r="L10" s="7" t="s">
        <v>23</v>
      </c>
      <c r="M10" s="5">
        <v>45.95</v>
      </c>
      <c r="Q10" s="2">
        <v>18</v>
      </c>
      <c r="R10" s="2">
        <v>118</v>
      </c>
      <c r="S10" s="6">
        <v>45.3</v>
      </c>
      <c r="T10" s="5">
        <v>831.70799999999997</v>
      </c>
    </row>
    <row r="11" spans="1:20" x14ac:dyDescent="1.3">
      <c r="A11"/>
      <c r="B11"/>
      <c r="F11" s="2">
        <v>104</v>
      </c>
      <c r="G11" s="7" t="s">
        <v>21</v>
      </c>
      <c r="H11" s="7" t="s">
        <v>15</v>
      </c>
      <c r="L11" s="7" t="s">
        <v>27</v>
      </c>
      <c r="M11" s="5">
        <v>26.87</v>
      </c>
      <c r="Q11" s="2">
        <v>18</v>
      </c>
      <c r="R11" s="2">
        <v>104</v>
      </c>
      <c r="S11" s="6">
        <v>32.4</v>
      </c>
      <c r="T11" s="5">
        <v>3134.7</v>
      </c>
    </row>
    <row r="12" spans="1:20" x14ac:dyDescent="1.3">
      <c r="A12"/>
      <c r="B12"/>
      <c r="F12" s="2">
        <v>112</v>
      </c>
      <c r="G12" s="7" t="s">
        <v>22</v>
      </c>
      <c r="H12" s="7" t="s">
        <v>23</v>
      </c>
      <c r="L12"/>
      <c r="M12"/>
      <c r="Q12" s="2">
        <v>18</v>
      </c>
      <c r="R12" s="2">
        <v>112</v>
      </c>
      <c r="S12" s="6">
        <v>45</v>
      </c>
      <c r="T12" s="5">
        <v>2067.75</v>
      </c>
    </row>
    <row r="13" spans="1:20" x14ac:dyDescent="1.3">
      <c r="A13"/>
      <c r="B13"/>
      <c r="F13" s="2">
        <v>113</v>
      </c>
      <c r="G13" s="7" t="s">
        <v>25</v>
      </c>
      <c r="H13" s="7" t="s">
        <v>18</v>
      </c>
      <c r="L13"/>
      <c r="M13"/>
      <c r="Q13" s="2">
        <v>22</v>
      </c>
      <c r="R13" s="2">
        <v>105</v>
      </c>
      <c r="S13" s="6">
        <v>65.7</v>
      </c>
      <c r="T13" s="5">
        <v>6898.5</v>
      </c>
    </row>
    <row r="14" spans="1:20" x14ac:dyDescent="1.3">
      <c r="A14"/>
      <c r="B14"/>
      <c r="F14" s="2">
        <v>111</v>
      </c>
      <c r="G14" s="7" t="s">
        <v>26</v>
      </c>
      <c r="H14" s="7" t="s">
        <v>27</v>
      </c>
      <c r="L14"/>
      <c r="M14"/>
      <c r="Q14" s="2">
        <v>22</v>
      </c>
      <c r="R14" s="2">
        <v>104</v>
      </c>
      <c r="S14" s="6">
        <v>48.4</v>
      </c>
      <c r="T14" s="5">
        <v>4682.7</v>
      </c>
    </row>
    <row r="15" spans="1:20" x14ac:dyDescent="1.3">
      <c r="A15"/>
      <c r="B15"/>
      <c r="F15" s="2">
        <v>107</v>
      </c>
      <c r="G15" s="7" t="s">
        <v>29</v>
      </c>
      <c r="H15" s="7" t="s">
        <v>13</v>
      </c>
      <c r="L15"/>
      <c r="M15"/>
      <c r="Q15" s="2">
        <v>22</v>
      </c>
      <c r="R15" s="2">
        <v>113</v>
      </c>
      <c r="S15" s="6">
        <v>23.6</v>
      </c>
      <c r="T15" s="5">
        <v>1135.1600000000001</v>
      </c>
    </row>
    <row r="16" spans="1:20" x14ac:dyDescent="1.3">
      <c r="A16"/>
      <c r="B16"/>
      <c r="F16" s="2">
        <v>115</v>
      </c>
      <c r="G16" s="7" t="s">
        <v>30</v>
      </c>
      <c r="H16" s="7" t="s">
        <v>15</v>
      </c>
      <c r="L16"/>
      <c r="M16"/>
      <c r="Q16" s="2">
        <v>22</v>
      </c>
      <c r="R16" s="2">
        <v>111</v>
      </c>
      <c r="S16" s="6">
        <v>22</v>
      </c>
      <c r="T16" s="5">
        <v>591.14</v>
      </c>
    </row>
    <row r="17" spans="1:20" x14ac:dyDescent="1.3">
      <c r="A17"/>
      <c r="B17"/>
      <c r="F17" s="2">
        <v>108</v>
      </c>
      <c r="G17" s="7" t="s">
        <v>31</v>
      </c>
      <c r="H17" s="7" t="s">
        <v>15</v>
      </c>
      <c r="L17"/>
      <c r="M17"/>
      <c r="Q17" s="2">
        <v>22</v>
      </c>
      <c r="R17" s="2">
        <v>106</v>
      </c>
      <c r="S17" s="6">
        <v>12.8</v>
      </c>
      <c r="T17" s="5">
        <v>457.6</v>
      </c>
    </row>
    <row r="18" spans="1:20" x14ac:dyDescent="1.3">
      <c r="A18"/>
      <c r="B18"/>
      <c r="F18"/>
      <c r="G18"/>
      <c r="H18"/>
      <c r="Q18" s="2">
        <v>25</v>
      </c>
      <c r="R18" s="2">
        <v>107</v>
      </c>
      <c r="S18" s="6">
        <v>25.6</v>
      </c>
      <c r="T18" s="5">
        <v>915.2</v>
      </c>
    </row>
    <row r="19" spans="1:20" x14ac:dyDescent="1.3">
      <c r="A19"/>
      <c r="B19"/>
      <c r="F19"/>
      <c r="G19"/>
      <c r="H19"/>
      <c r="Q19" s="2">
        <v>25</v>
      </c>
      <c r="R19" s="2">
        <v>115</v>
      </c>
      <c r="S19" s="6">
        <v>45.8</v>
      </c>
      <c r="T19" s="5">
        <v>4431.1499999999996</v>
      </c>
    </row>
    <row r="20" spans="1:20" x14ac:dyDescent="1.3">
      <c r="A20"/>
      <c r="B20"/>
      <c r="F20"/>
      <c r="G20"/>
      <c r="H20"/>
      <c r="Q20" s="2">
        <v>25</v>
      </c>
      <c r="R20" s="2">
        <v>101</v>
      </c>
      <c r="S20" s="6">
        <v>56.3</v>
      </c>
      <c r="T20" s="5">
        <v>5911.5</v>
      </c>
    </row>
    <row r="21" spans="1:20" x14ac:dyDescent="1.3">
      <c r="A21"/>
      <c r="B21"/>
      <c r="F21"/>
      <c r="G21"/>
      <c r="H21"/>
      <c r="Q21" s="2">
        <v>25</v>
      </c>
      <c r="R21" s="2">
        <v>114</v>
      </c>
      <c r="S21" s="6">
        <v>33.1</v>
      </c>
      <c r="T21" s="5">
        <v>1592.1100000000001</v>
      </c>
    </row>
    <row r="22" spans="1:20" x14ac:dyDescent="1.3">
      <c r="A22"/>
      <c r="B22"/>
      <c r="F22"/>
      <c r="G22"/>
      <c r="H22"/>
      <c r="Q22" s="2">
        <v>25</v>
      </c>
      <c r="R22" s="2">
        <v>108</v>
      </c>
      <c r="S22" s="6">
        <v>23.6</v>
      </c>
      <c r="T22" s="5">
        <v>2283.3000000000002</v>
      </c>
    </row>
    <row r="23" spans="1:20" x14ac:dyDescent="1.3">
      <c r="A23"/>
      <c r="B23"/>
      <c r="F23"/>
      <c r="G23"/>
      <c r="H23"/>
      <c r="Q23" s="2">
        <v>25</v>
      </c>
      <c r="R23" s="2">
        <v>118</v>
      </c>
      <c r="S23" s="6">
        <v>30.5</v>
      </c>
      <c r="T23" s="5">
        <v>559.98</v>
      </c>
    </row>
    <row r="24" spans="1:20" x14ac:dyDescent="1.3">
      <c r="A24"/>
      <c r="B24"/>
      <c r="F24"/>
      <c r="G24"/>
      <c r="H24"/>
      <c r="Q24" s="2">
        <v>25</v>
      </c>
      <c r="R24" s="2">
        <v>112</v>
      </c>
      <c r="S24" s="6">
        <v>41.4</v>
      </c>
      <c r="T24" s="5">
        <v>1902.3300000000002</v>
      </c>
    </row>
  </sheetData>
  <mergeCells count="4">
    <mergeCell ref="A1:B2"/>
    <mergeCell ref="F1:H2"/>
    <mergeCell ref="Q1:T2"/>
    <mergeCell ref="L1:M2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08FFE-A5DD-4882-B1FE-8A704A6D2D5B}">
  <dimension ref="A1"/>
  <sheetViews>
    <sheetView showGridLines="0" tabSelected="1" workbookViewId="0">
      <selection activeCell="V21" sqref="V21"/>
    </sheetView>
  </sheetViews>
  <sheetFormatPr defaultRowHeight="14.4" x14ac:dyDescent="0.5500000000000000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1NF</vt:lpstr>
      <vt:lpstr>2NF</vt:lpstr>
      <vt:lpstr>3NF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Adham Ashraf Saeed</dc:creator>
  <cp:lastModifiedBy>Adham Ashraf Saeed</cp:lastModifiedBy>
  <dcterms:created xsi:type="dcterms:W3CDTF">2026-07-09T19:10:59Z</dcterms:created>
  <dcterms:modified xsi:type="dcterms:W3CDTF">2026-07-09T21:39:23Z</dcterms:modified>
</cp:coreProperties>
</file>